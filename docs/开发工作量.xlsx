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dev\pro_orangemodel\docs\"/>
    </mc:Choice>
  </mc:AlternateContent>
  <bookViews>
    <workbookView windowWidth="27952" windowHeight="12255" activeTab="3"/>
  </bookViews>
  <sheets>
    <sheet name="项目概况" sheetId="1" r:id="rId1"/>
    <sheet name="功能页面清单" sheetId="2" r:id="rId2"/>
    <sheet name="工作量评估明细" sheetId="3" r:id="rId3"/>
    <sheet name="人员工时汇总" sheetId="4" r:id="rId4"/>
    <sheet name="各端工时汇总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<sst xmlns="http://schemas.openxmlformats.org/spreadsheetml/2006/main" count="789" uniqueCount="408">
  <si>
    <t>南丰蜜桔模型管理系统 — 开发工作量评估表</t>
  </si>
  <si>
    <t>功能原型界面链接：https://user007a.github.io/pro_orangemodel/</t>
  </si>
  <si>
    <t>项目名称</t>
  </si>
  <si>
    <t>南丰蜜桔模型管理系统</t>
  </si>
  <si>
    <t>项目周期</t>
  </si>
  <si>
    <t>2026年8月10日 — 2026年10月31日</t>
  </si>
  <si>
    <t>工作日统计</t>
  </si>
  <si>
    <t>共54个工作日（8月16天 + 9月21天 + 10月17天），每日8小时</t>
  </si>
  <si>
    <t>法定节假日</t>
  </si>
  <si>
    <t>中秋节9月25日（周五）；国庆节10月1日-7日</t>
  </si>
  <si>
    <t>团队规模</t>
  </si>
  <si>
    <t>4人（开发经理1人 + 功能开发1人 + 模型算法师1人 + 美工1人）</t>
  </si>
  <si>
    <t>覆盖范围</t>
  </si>
  <si>
    <t>后台管理系统47页 + 移动端19页 + 数据大屏2页 = 68个页面</t>
  </si>
  <si>
    <t>团队成员与职责</t>
  </si>
  <si>
    <t>角色</t>
  </si>
  <si>
    <t>人员</t>
  </si>
  <si>
    <t>主要职责</t>
  </si>
  <si>
    <t>工作日</t>
  </si>
  <si>
    <t>总工时(小时)</t>
  </si>
  <si>
    <t>开发经理（核心程序员）</t>
  </si>
  <si>
    <t>洪俊</t>
  </si>
  <si>
    <t>研发管理、系统架构设计、核心框架与双模型计算引擎开发、技术文档</t>
  </si>
  <si>
    <t>功能开发程序员</t>
  </si>
  <si>
    <t>文艳</t>
  </si>
  <si>
    <t>后台47页+移动端19页+大屏2页的业务功能开发、接口对接、测试</t>
  </si>
  <si>
    <t>模型算法师</t>
  </si>
  <si>
    <t>唐毅</t>
  </si>
  <si>
    <t>生长模型与病虫害模型核心算法研究、因子诊断预警、基础数据与验证</t>
  </si>
  <si>
    <t>美工</t>
  </si>
  <si>
    <t>李艳</t>
  </si>
  <si>
    <t>三端页面UI美化、设计规范、图标素材、交互走查</t>
  </si>
  <si>
    <t>合计</t>
  </si>
  <si>
    <t>54</t>
  </si>
  <si>
    <t>关键假设与说明</t>
  </si>
  <si>
    <t>1. 标准工作制：周一至周五，每天8小时（9:00-12:00, 13:30-18:30）</t>
  </si>
  <si>
    <t>2. 法定节假日：中秋节9月25日（周五）放假1天；国庆节10月1日-7日放假7天（含周末2天）</t>
  </si>
  <si>
    <t>3. 无调休补班日，总工作日54天，总可用工时432小时/人</t>
  </si>
  <si>
    <t>4. 美工任务于9月28日提前完成，剩余时间可协助其他岗位或处理设计走查</t>
  </si>
  <si>
    <t>5. 开发经理(y)承担研发管理+架构设计+核心程序编写，任务最为关键</t>
  </si>
  <si>
    <t>6. 模型算法师全程参与，前期研究算法、后期协助开发联调</t>
  </si>
  <si>
    <t>7. "开发用时(天)"为该功能页面总人天投入（含开发+算法+美化），非单一角色工作量</t>
  </si>
  <si>
    <t>8. 公共/通用任务包含架构设计、框架搭建、系统集成、部署上线、文档等跨端工作</t>
  </si>
  <si>
    <t>功能页面清单与开发用量估算</t>
  </si>
  <si>
    <t>系统名称</t>
  </si>
  <si>
    <t>一级菜单</t>
  </si>
  <si>
    <t>二级菜单</t>
  </si>
  <si>
    <t>内容描述</t>
  </si>
  <si>
    <t>备注</t>
  </si>
  <si>
    <t>开发用时(人天)</t>
  </si>
  <si>
    <t>模型管理后台</t>
  </si>
  <si>
    <t>系统首页</t>
  </si>
  <si>
    <t>系统框架</t>
  </si>
  <si>
    <t>系统主框架，含侧边栏导航、顶部栏、iframe路由、用户菜单、通知/个人设置/修改个人密码</t>
  </si>
  <si>
    <t/>
  </si>
  <si>
    <t>登录认证</t>
  </si>
  <si>
    <t>系统登录页，支持账号密码登录认证</t>
  </si>
  <si>
    <t>系统总览看板，展示模型运行状态、预警概览、数据统计、用户等核心指标、近期操作提醒等</t>
  </si>
  <si>
    <t>生长模型</t>
  </si>
  <si>
    <t>模型说明</t>
  </si>
  <si>
    <t>生长模型算法原理与参数说明文档页</t>
  </si>
  <si>
    <t>基础档案</t>
  </si>
  <si>
    <t>南丰蜜桔基础档案管理，含品系管理、地块档案、生长阶段参数维护</t>
  </si>
  <si>
    <t>因子采集</t>
  </si>
  <si>
    <t>生长因子数据采集管理，含物联网实时数据、人工采样录入、农事操作记录</t>
  </si>
  <si>
    <t>农事建议</t>
  </si>
  <si>
    <t>农事建议方案库管理，含方案增删改查、因子-建议关联配置、方案测试、因子映射</t>
  </si>
  <si>
    <t>开发重难点</t>
  </si>
  <si>
    <t>模型计算</t>
  </si>
  <si>
    <t>生长模型批量计算中心，含适宜度/门控/生长增量/扣分/综合评分计算与调度日志</t>
  </si>
  <si>
    <t>诊断分析</t>
  </si>
  <si>
    <t>生长综合诊断分析，含综合评分面板、六维度因子分析、扣分明细溯源、农事建议匹配</t>
  </si>
  <si>
    <t>评价报告</t>
  </si>
  <si>
    <t>生长综合评价报告，含报告预览、自动生成、历史报告管理</t>
  </si>
  <si>
    <t>数据校准</t>
  </si>
  <si>
    <t>模型数据校准，含历史数据对比、参数微调、校准日志</t>
  </si>
  <si>
    <t>病虫害模型</t>
  </si>
  <si>
    <t>病虫害预测模型算法原理与参数说明文档页</t>
  </si>
  <si>
    <t>监测数据</t>
  </si>
  <si>
    <t>病虫害监测数据管理，含监测数据录入、查看与统计</t>
  </si>
  <si>
    <t>参数配置</t>
  </si>
  <si>
    <t>病虫害预测模型参数配置，含模型阈值、预测参数设置</t>
  </si>
  <si>
    <t>预测计算</t>
  </si>
  <si>
    <t>病虫害预测计算中心，运行模型输出预测结果与计算日志</t>
  </si>
  <si>
    <t>风险诊断</t>
  </si>
  <si>
    <t>病虫害风险诊断分析，含风险等级评估、诊断结论与防控建议</t>
  </si>
  <si>
    <t>预测报告</t>
  </si>
  <si>
    <t>病虫害预测报告，含报告生成、预览与历史记录</t>
  </si>
  <si>
    <t>防控方案</t>
  </si>
  <si>
    <t>病虫害防控方案管理，含防控方案配置与建议输出</t>
  </si>
  <si>
    <t>数据管理</t>
  </si>
  <si>
    <t>病害数据库</t>
  </si>
  <si>
    <t>南丰蜜桔常见病害信息管理，含病害名称、症状、防治方法的增删改查</t>
  </si>
  <si>
    <t>虫害数据库</t>
  </si>
  <si>
    <t>南丰蜜桔常见虫害信息管理，含虫害种类、特征、防治措施的数据维护</t>
  </si>
  <si>
    <t>灾害数据库</t>
  </si>
  <si>
    <t>南丰蜜桔常见气象灾害信息管理，含灾害类型、等级、应对措施的数据维护</t>
  </si>
  <si>
    <t>品种数据库</t>
  </si>
  <si>
    <t>南丰蜜桔常见品种信息管理，含品种特性、适宜条件、产量数据维护</t>
  </si>
  <si>
    <t>气象数据库</t>
  </si>
  <si>
    <t>南丰县已安装的气象监测站点管理与实时气象数据查看（温度/湿度/光照/风速/降雨量/气压）</t>
  </si>
  <si>
    <t>墒情数据库</t>
  </si>
  <si>
    <t>南丰县已安装的土壤墒情监测站点管理与历史墒情数据查看（墒情值/pH/有机质/氮磷钾）</t>
  </si>
  <si>
    <t>视频监测库</t>
  </si>
  <si>
    <t>南丰县已安装的视频监控设备管理，含设备编号、监控点、监测类型、在线状态维护</t>
  </si>
  <si>
    <t>价格数据库</t>
  </si>
  <si>
    <t>南丰蜜桔价格行情数据管理，含最高价/最低价/平均价的数据维护与查看</t>
  </si>
  <si>
    <t>物候数据库</t>
  </si>
  <si>
    <t>南丰蜜桔物候期数据管理，记录各生长阶段物候信息</t>
  </si>
  <si>
    <t>人工上报</t>
  </si>
  <si>
    <t>人工采集数据上报管理，支持数据录入、审核与查看</t>
  </si>
  <si>
    <t>外部抓取</t>
  </si>
  <si>
    <t>外部数据源抓取配置，支持气象局/农业大数据/价格行情/测报等已有系统数据对接</t>
  </si>
  <si>
    <t>预警管理</t>
  </si>
  <si>
    <t>预警信息列表与处置，含预警等级、类型、状态的查看与处理</t>
  </si>
  <si>
    <t>处置记录</t>
  </si>
  <si>
    <t>预警处置记录管理，记录处置措施、结果、责任人</t>
  </si>
  <si>
    <t>预警规则</t>
  </si>
  <si>
    <t>预警触发规则配置，含指标阈值、预警等级、通知方式设置</t>
  </si>
  <si>
    <t>预警模板</t>
  </si>
  <si>
    <t>预警消息模板管理，含模板审核、内容设置、流程配置</t>
  </si>
  <si>
    <t>微信后台</t>
  </si>
  <si>
    <t>微信用户</t>
  </si>
  <si>
    <t>移动端用户管理，含用户信息、绑定果园、活跃度查看</t>
  </si>
  <si>
    <t>果园管理</t>
  </si>
  <si>
    <t>用户果园地块管理，含地块信息、面积、品种、树龄维护</t>
  </si>
  <si>
    <t>资讯管理</t>
  </si>
  <si>
    <t>农技资讯内容管理，含资讯发布、编辑、富文本编辑器与图片上传</t>
  </si>
  <si>
    <t>建议采纳</t>
  </si>
  <si>
    <t>农户对预警/建议的采纳记录管理，含采纳结果与异议内容</t>
  </si>
  <si>
    <t>识别日志</t>
  </si>
  <si>
    <t>病虫害AI识别日志记录，含识别结果、图片、时间查看</t>
  </si>
  <si>
    <t>系统管理</t>
  </si>
  <si>
    <t>用户管理</t>
  </si>
  <si>
    <t>后台系统用户管理，含账号创建、角色分配、密码重置</t>
  </si>
  <si>
    <t>角色管理</t>
  </si>
  <si>
    <t>系统角色与权限管理，含角色创建、菜单权限配置</t>
  </si>
  <si>
    <t>模型管理后台 小计</t>
  </si>
  <si>
    <t>模型监测大屏</t>
  </si>
  <si>
    <t>生长模型大屏</t>
  </si>
  <si>
    <t>KPI指标概览</t>
  </si>
  <si>
    <t>8项核心指标：用户主体/活跃度/监控植株数/报告数/整体评分/农事建议数/采纳率/学习次数</t>
  </si>
  <si>
    <t>环境监测数据</t>
  </si>
  <si>
    <t>实时环境指标展示：土壤温湿度/养分/光照强度/空气温湿度</t>
  </si>
  <si>
    <t>植株综合评测分析</t>
  </si>
  <si>
    <t>健康指数环图/综合评分/等级分布/健康趋势图</t>
  </si>
  <si>
    <t>模型农事建议</t>
  </si>
  <si>
    <t>生长模型生成的农事建议列表及完成时限</t>
  </si>
  <si>
    <t>植株评价监测总览地图</t>
  </si>
  <si>
    <t>南丰县地图/乡镇标注/监测点位气泡分布</t>
  </si>
  <si>
    <t>综合评价子项分析</t>
  </si>
  <si>
    <t>各评价子项趋势分析图表</t>
  </si>
  <si>
    <t>农事建议落地统计</t>
  </si>
  <si>
    <t>农事建议采纳与执行情况统计图</t>
  </si>
  <si>
    <t>生长阶段分布</t>
  </si>
  <si>
    <t>监测植株的生长阶段分布统计图</t>
  </si>
  <si>
    <t>病虫害模型大屏</t>
  </si>
  <si>
    <t>8项核心指标：病害种类/虫害种类/识别准确率/预警总数/处置完成率/灾害类型/采纳率/预警准确率</t>
  </si>
  <si>
    <t>高发病虫害排名</t>
  </si>
  <si>
    <t>病虫害发生频次排名列表</t>
  </si>
  <si>
    <t>实时识别记录</t>
  </si>
  <si>
    <t>病虫害AI识别实时记录图表</t>
  </si>
  <si>
    <t>分级预警信息台账</t>
  </si>
  <si>
    <t>按等级分类的预警信息列表</t>
  </si>
  <si>
    <t>区域风险热力分布地图</t>
  </si>
  <si>
    <t>病虫害风险等级/预警统计/健康指数/图例/滚动信息</t>
  </si>
  <si>
    <t>气象实时数据</t>
  </si>
  <si>
    <t>实时气象指标展示卡片</t>
  </si>
  <si>
    <t>气象灾害风险预判</t>
  </si>
  <si>
    <t>气象灾害风险预判分析</t>
  </si>
  <si>
    <t>模型预警准确率及趋势</t>
  </si>
  <si>
    <t>预警准确率趋势图表</t>
  </si>
  <si>
    <t>年度病虫害及灾害损失对比</t>
  </si>
  <si>
    <t>年度损失数据对比图</t>
  </si>
  <si>
    <t>防护建议落地情况</t>
  </si>
  <si>
    <t>防护建议执行情况统计</t>
  </si>
  <si>
    <t>模型监测大屏 小计</t>
  </si>
  <si>
    <t>蜜桔农业助手</t>
  </si>
  <si>
    <t>首页</t>
  </si>
  <si>
    <t>综合看板：天气/预警状态/跑马灯消息/常用服务入口/实时价格/农事推荐/资讯</t>
  </si>
  <si>
    <t>病虫害服务</t>
  </si>
  <si>
    <t>AI智能识别</t>
  </si>
  <si>
    <t>拍照识别病虫害，返回病害名称、特征与防治建议</t>
  </si>
  <si>
    <t>病虫害知识库</t>
  </si>
  <si>
    <t>病虫害知识浏览与检索，含症状图片、防治方法</t>
  </si>
  <si>
    <t>长势评价</t>
  </si>
  <si>
    <t>植株指标数据录入</t>
  </si>
  <si>
    <t>植株生长指标录入表单，提交后生成评价</t>
  </si>
  <si>
    <t>植株综合评价报告</t>
  </si>
  <si>
    <t>评价结果展示，含各维度评分、雷达图与建议</t>
  </si>
  <si>
    <t>数据采集</t>
  </si>
  <si>
    <t>环境监测</t>
  </si>
  <si>
    <t>园区环境实时监测数据展示与趋势图（温湿度/光照/风速等）</t>
  </si>
  <si>
    <t>数据上报</t>
  </si>
  <si>
    <t>人工数据上报表单，支持多类型数据录入提交</t>
  </si>
  <si>
    <t>我的果园</t>
  </si>
  <si>
    <t>用户果园地块信息与监测数据查看</t>
  </si>
  <si>
    <t>农技资讯</t>
  </si>
  <si>
    <t>资讯首页，分类展示农技文章与推荐内容</t>
  </si>
  <si>
    <t>资讯列表</t>
  </si>
  <si>
    <t>农技资讯列表页，支持分类浏览与检索</t>
  </si>
  <si>
    <t>资讯详情</t>
  </si>
  <si>
    <t>农技资讯详情页，富文本内容与图片展示</t>
  </si>
  <si>
    <t>学习中心</t>
  </si>
  <si>
    <t>学习中心，记录学习进度与课程列表</t>
  </si>
  <si>
    <t>价格行情</t>
  </si>
  <si>
    <t>价格指数</t>
  </si>
  <si>
    <t>蜜桔价格行情展示与历史趋势图</t>
  </si>
  <si>
    <t>消息中心</t>
  </si>
  <si>
    <t>我的消息</t>
  </si>
  <si>
    <t>预警/农事/AI/资讯消息列表与详情，支持采纳与异议反馈</t>
  </si>
  <si>
    <t>个人中心</t>
  </si>
  <si>
    <t>我的</t>
  </si>
  <si>
    <t>个人中心入口页，展示功能菜单与统计概览</t>
  </si>
  <si>
    <t>个人信息</t>
  </si>
  <si>
    <t>个人信息查看与编辑</t>
  </si>
  <si>
    <t>上报记录</t>
  </si>
  <si>
    <t>历史数据上报记录查看</t>
  </si>
  <si>
    <t>我的报告</t>
  </si>
  <si>
    <t>评价报告与生成记录查看</t>
  </si>
  <si>
    <t>设置</t>
  </si>
  <si>
    <t>账号设置、消息提醒开关、退出登录</t>
  </si>
  <si>
    <t>蜜桔农业助手 小计</t>
  </si>
  <si>
    <t>总计</t>
  </si>
  <si>
    <t>开发工作量评估明细表</t>
  </si>
  <si>
    <t>序号</t>
  </si>
  <si>
    <t>角色/人员</t>
  </si>
  <si>
    <t>任务名称</t>
  </si>
  <si>
    <t>所属端</t>
  </si>
  <si>
    <t>涉及范围/页面数</t>
  </si>
  <si>
    <t>开始日期</t>
  </si>
  <si>
    <t>结束日期</t>
  </si>
  <si>
    <t>工作日(天)</t>
  </si>
  <si>
    <t>日工时(h)</t>
  </si>
  <si>
    <t>总工时(h)</t>
  </si>
  <si>
    <t>开发经理</t>
  </si>
  <si>
    <t>需求分析与技术架构设计</t>
  </si>
  <si>
    <t>公共/通用</t>
  </si>
  <si>
    <t>整体系统架构、技术选型、接口规范制定</t>
  </si>
  <si>
    <t>2026-08-10</t>
  </si>
  <si>
    <t>2026-08-13</t>
  </si>
  <si>
    <t>含架构文档输出</t>
  </si>
  <si>
    <t>核心框架开发(侧边栏/路由/权限/状态管理)</t>
  </si>
  <si>
    <t>三端统一框架搭建、iframe路由、权限体系</t>
  </si>
  <si>
    <t>2026-08-14</t>
  </si>
  <si>
    <t>2026-08-21</t>
  </si>
  <si>
    <t>后台API接口设计与规范制定</t>
  </si>
  <si>
    <t>后台管理系统</t>
  </si>
  <si>
    <t>RESTful API设计、接口文档、数据契约</t>
  </si>
  <si>
    <t>2026-08-24</t>
  </si>
  <si>
    <t>2026-08-26</t>
  </si>
  <si>
    <t>生长模型计算引擎核心开发</t>
  </si>
  <si>
    <t>适宜度/门控/生长增量/扣分/综合评分算法实现</t>
  </si>
  <si>
    <t>2026-08-27</t>
  </si>
  <si>
    <t>2026-09-04</t>
  </si>
  <si>
    <t>核心算法实现</t>
  </si>
  <si>
    <t>病虫害模型预测引擎核心开发</t>
  </si>
  <si>
    <t>因子耦合/时间累积/空间传播/概率校准算法实现</t>
  </si>
  <si>
    <t>2026-09-07</t>
  </si>
  <si>
    <t>2026-09-16</t>
  </si>
  <si>
    <t>数据库设计与基础数据建模</t>
  </si>
  <si>
    <t>表结构设计、索引优化、数据迁移脚本</t>
  </si>
  <si>
    <t>2026-09-17</t>
  </si>
  <si>
    <t>2026-09-18</t>
  </si>
  <si>
    <t>系统集成与联调测试</t>
  </si>
  <si>
    <t>三端联调、接口对接、数据流验证</t>
  </si>
  <si>
    <t>2026-09-21</t>
  </si>
  <si>
    <t>2026-09-29</t>
  </si>
  <si>
    <t>性能优化与安全加固</t>
  </si>
  <si>
    <t>前端性能、接口响应、安全防护、SQL防注入</t>
  </si>
  <si>
    <t>2026-10-08</t>
  </si>
  <si>
    <t>2026-10-16</t>
  </si>
  <si>
    <t>部署上线与验收测试</t>
  </si>
  <si>
    <t>服务器部署、环境配置、用户验收</t>
  </si>
  <si>
    <t>2026-10-19</t>
  </si>
  <si>
    <t>2026-10-23</t>
  </si>
  <si>
    <t>技术文档编写与交付</t>
  </si>
  <si>
    <t>架构文档、API文档、部署文档、运维手册</t>
  </si>
  <si>
    <t>2026-10-26</t>
  </si>
  <si>
    <t>2026-10-30</t>
  </si>
  <si>
    <t>后台框架搭建(登录/首页/导航)</t>
  </si>
  <si>
    <t>3个页面(系统框架/登录认证/系统首页)</t>
  </si>
  <si>
    <t>2026-08-11</t>
  </si>
  <si>
    <t>生长模型模块页面开发</t>
  </si>
  <si>
    <t>10个页面(模型说明/基础档案/因子采集/农事建议/模型计算/诊断分析/评价报告/数据校准/报告详情/算法说明)</t>
  </si>
  <si>
    <t>2026-08-12</t>
  </si>
  <si>
    <t>2026-08-18</t>
  </si>
  <si>
    <t>病虫害模型模块页面开发</t>
  </si>
  <si>
    <t>8个页面(模型说明/监测数据/参数配置/预测计算/风险诊断/预测报告/防控方案/算法说明)</t>
  </si>
  <si>
    <t>2026-08-19</t>
  </si>
  <si>
    <t>2026-08-25</t>
  </si>
  <si>
    <t>数据管理模块页面开发</t>
  </si>
  <si>
    <t>11个页面(病害库/虫害库/灾害库/品种库/气象库/墒情库/视频库/价格库/物候库/人工上报/外部抓取)</t>
  </si>
  <si>
    <t>2026-09-02</t>
  </si>
  <si>
    <t>预警管理模块页面开发</t>
  </si>
  <si>
    <t>6个页面(预警管理/处置记录/预警规则/发送模板/流程设置/内容设置)</t>
  </si>
  <si>
    <t>2026-09-03</t>
  </si>
  <si>
    <t>微信后台模块页面开发</t>
  </si>
  <si>
    <t>6个页面(微信用户/果园管理/资讯管理/建议采纳/识别日志/植株评价)</t>
  </si>
  <si>
    <t>2026-09-08</t>
  </si>
  <si>
    <t>2026-09-11</t>
  </si>
  <si>
    <t>系统管理模块页面开发</t>
  </si>
  <si>
    <t>3个页面(用户管理/角色管理/模型配置)</t>
  </si>
  <si>
    <t>2026-09-14</t>
  </si>
  <si>
    <t>移动端页面开发</t>
  </si>
  <si>
    <t>移动端</t>
  </si>
  <si>
    <t>19个页面(首页/数据上报/我的果园/AI识别/知识库/植株录入/评价报告/价格指数/资讯/学习中心/消息/个人中心等)</t>
  </si>
  <si>
    <t>2026-10-09</t>
  </si>
  <si>
    <t>含中秋节、国庆假期</t>
  </si>
  <si>
    <t>数据大屏页面开发</t>
  </si>
  <si>
    <t>数据大屏</t>
  </si>
  <si>
    <t>2个页面(生长模型大屏/病虫害模型大屏)</t>
  </si>
  <si>
    <t>2026-10-12</t>
  </si>
  <si>
    <t>2026-10-13</t>
  </si>
  <si>
    <t>ECharts可视化</t>
  </si>
  <si>
    <t>API接口对接与数据联调</t>
  </si>
  <si>
    <t>前后端接口对接、数据流验证</t>
  </si>
  <si>
    <t>2026-10-14</t>
  </si>
  <si>
    <t>Bug修复与优化</t>
  </si>
  <si>
    <t>全端Bug修复、交互优化</t>
  </si>
  <si>
    <t>测试与验收</t>
  </si>
  <si>
    <t>功能测试、回归测试、用户验收</t>
  </si>
  <si>
    <t>生长模型-8状态分量体系(B/L/R/N/D/W/S/A)分析</t>
  </si>
  <si>
    <t>生物量/叶面积/根系/氮素/直径/水分/结构/活性8个状态分量定义</t>
  </si>
  <si>
    <t>生长模型-7因子适宜度函数设计</t>
  </si>
  <si>
    <t>温度/光照/水分/养分/土壤/气象/农事7因子适宜度曲线</t>
  </si>
  <si>
    <t>2026-08-17</t>
  </si>
  <si>
    <t>生长模型-扣分机制与六维归集(100分制)</t>
  </si>
  <si>
    <t>扣分公式Pk×(1-适宜度)×w、六维度评分归集</t>
  </si>
  <si>
    <t>2026-08-20</t>
  </si>
  <si>
    <t>生长模型-因果链分析与因子映射匹配引擎</t>
  </si>
  <si>
    <t>因子因果关系链推导、映射匹配算法设计</t>
  </si>
  <si>
    <t>生长模型-基础数据需求梳理与验证</t>
  </si>
  <si>
    <t>气象/土壤/农事数据需求规格定义</t>
  </si>
  <si>
    <t>2026-08-28</t>
  </si>
  <si>
    <t>病虫害-统一预测公式8大要素分析</t>
  </si>
  <si>
    <t>预测公式要素分解与数学定义</t>
  </si>
  <si>
    <t>2026-08-31</t>
  </si>
  <si>
    <t>病虫害-多因子耦合(单/双beta/三gamma)</t>
  </si>
  <si>
    <t>单因子/两因子beta/三因子gamma耦合模型与权重</t>
  </si>
  <si>
    <t>病虫害-时间累积(衰减权重)与空间传播模型</t>
  </si>
  <si>
    <t>P_ij=alpha×I_j×e^(-beta×d_ij)×cos(theta)</t>
  </si>
  <si>
    <t>2026-09-09</t>
  </si>
  <si>
    <t>病虫害-概率校准(theta1-5)与7步计算流程</t>
  </si>
  <si>
    <t>5个theta校准参数、7步计算pipeline设计</t>
  </si>
  <si>
    <t>病虫害-风险等级划分与基础数据准备</t>
  </si>
  <si>
    <t>4级风险(低/中/高/极高)、监测数据样本准备</t>
  </si>
  <si>
    <t>2026-09-22</t>
  </si>
  <si>
    <t>算法验证与参数调优</t>
  </si>
  <si>
    <t>历史数据回测、参数敏感性分析、模型校验</t>
  </si>
  <si>
    <t>2026-09-23</t>
  </si>
  <si>
    <t>算法文档编写</t>
  </si>
  <si>
    <t>生长模型与病虫害模型算法说明书</t>
  </si>
  <si>
    <t>协助系统集成与联调</t>
  </si>
  <si>
    <t>算法引擎对接、计算结果验证、参数微调</t>
  </si>
  <si>
    <t>2026-10-15</t>
  </si>
  <si>
    <t>2026-10-28</t>
  </si>
  <si>
    <t>最终算法验证与交付</t>
  </si>
  <si>
    <t>全链路验证、交付确认</t>
  </si>
  <si>
    <t>2026-10-29</t>
  </si>
  <si>
    <t>设计规范制定与组件库搭建</t>
  </si>
  <si>
    <t>色彩体系/字体规范/组件库/图标体系</t>
  </si>
  <si>
    <t>后台管理系统UI美化(47页)</t>
  </si>
  <si>
    <t>侧边栏/顶部栏/内容区/表格/表单/弹窗视觉设计</t>
  </si>
  <si>
    <t>移动端UI美化(19页)</t>
  </si>
  <si>
    <t>H5页面视觉设计、底部导航、卡片组件</t>
  </si>
  <si>
    <t>数据大屏UI美化(2页)</t>
  </si>
  <si>
    <t>大屏布局、地图热力图、KPI卡片、图表配色</t>
  </si>
  <si>
    <t>2026-09-15</t>
  </si>
  <si>
    <t>含ECharts主题</t>
  </si>
  <si>
    <t>图标与视觉素材制作</t>
  </si>
  <si>
    <t>功能图标/导航图标/状态图标/空状态插画</t>
  </si>
  <si>
    <t>交互优化与视觉走查</t>
  </si>
  <si>
    <t>三端交互一致性走查与优化</t>
  </si>
  <si>
    <t>2026-09-28</t>
  </si>
  <si>
    <t>9月28日完成，提前完工</t>
  </si>
  <si>
    <t>人员工时汇总表</t>
  </si>
  <si>
    <t>后台管理系统(h)</t>
  </si>
  <si>
    <t>移动端(h)</t>
  </si>
  <si>
    <t>数据大屏(h)</t>
  </si>
  <si>
    <t>公共/通用(h)</t>
  </si>
  <si>
    <t>利用率</t>
  </si>
  <si>
    <t>说明：</t>
  </si>
  <si>
    <t>1. 总可用工时 = 54个工作日 × 8小时 = 432小时/人</t>
  </si>
  <si>
    <t>2. 利用率 = 该人员总工时 / 432小时</t>
  </si>
  <si>
    <t>3. 美工于9月28日提前完工，利用率为64.8%，剩余时间可安排其他设计工作</t>
  </si>
  <si>
    <t>4. 各端工时含该端专属任务 + 公共任务中按比例分摊的部分（此表为原始值，未分摊公共任务）</t>
  </si>
  <si>
    <t>各端工时汇总表</t>
  </si>
  <si>
    <t>端/系统</t>
  </si>
  <si>
    <t>开发经理(h)</t>
  </si>
  <si>
    <t>功能开发(h)</t>
  </si>
  <si>
    <t>模型算法(h)</t>
  </si>
  <si>
    <t>美工(h)</t>
  </si>
  <si>
    <t>合计(h)</t>
  </si>
  <si>
    <t>移动端（微信小程序）</t>
  </si>
  <si>
    <t>公共/通用任务</t>
  </si>
  <si>
    <t>项目工作量汇总</t>
  </si>
  <si>
    <t>项目总工时</t>
  </si>
  <si>
    <t>小时</t>
  </si>
  <si>
    <t>项目总人天</t>
  </si>
  <si>
    <t>人天</t>
  </si>
  <si>
    <t>参与人数</t>
  </si>
  <si>
    <t>人</t>
  </si>
  <si>
    <t>工作周期</t>
  </si>
  <si>
    <t>2026-08-10 至 2026-10-31</t>
  </si>
  <si>
    <t>总工作日</t>
  </si>
  <si>
    <t>天</t>
  </si>
  <si>
    <t>人均日工时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</si>
</sst>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34">
    <font>
      <sz val="11"/>
      <color theme="1"/>
      <name val="宋体"/>
      <charset val="134"/>
      <scheme val="minor"/>
    </font>
    <font>
      <b/>
      <sz val="16"/>
      <color rgb="FFFFFFFF"/>
      <name val="微软雅黑"/>
      <charset val="134"/>
    </font>
    <font>
      <b/>
      <sz val="10"/>
      <color rgb="FFFFFFFF"/>
      <name val="微软雅黑"/>
      <charset val="134"/>
    </font>
    <font>
      <sz val="10"/>
      <color rgb="FF000000"/>
      <name val="微软雅黑"/>
      <charset val="134"/>
    </font>
    <font>
      <b/>
      <sz val="12"/>
      <color rgb="FF000000"/>
      <name val="微软雅黑"/>
      <charset val="134"/>
    </font>
    <font>
      <b/>
      <sz val="14"/>
      <color rgb="FFFFFFFF"/>
      <name val="微软雅黑"/>
      <charset val="134"/>
    </font>
    <font>
      <b/>
      <sz val="10"/>
      <color rgb="FF000000"/>
      <name val="微软雅黑"/>
      <charset val="134"/>
    </font>
    <font>
      <b/>
      <sz val="11"/>
      <color rgb="FF000000"/>
      <name val="微软雅黑"/>
      <charset val="134"/>
    </font>
    <font>
      <b/>
      <sz val="9"/>
      <color rgb="FF000000"/>
      <name val="微软雅黑"/>
      <charset val="134"/>
    </font>
    <font>
      <sz val="9"/>
      <color rgb="FF000000"/>
      <name val="微软雅黑"/>
      <charset val="134"/>
    </font>
    <font>
      <b/>
      <sz val="11"/>
      <color rgb="FFFFFFFF"/>
      <name val="微软雅黑"/>
      <charset val="134"/>
    </font>
    <font>
      <b/>
      <sz val="18"/>
      <color rgb="FFFFFFFF"/>
      <name val="微软雅黑"/>
      <charset val="134"/>
    </font>
    <font>
      <sz val="10"/>
      <color rgb="FF666666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4" fillId="0" borderId="0" applyFont="0" applyFill="0" applyBorder="0" applyAlignment="0" applyProtection="0">
      <alignment vertical="center"/>
    </xf>
    <xf numFmtId="44" fontId="14" fillId="0" borderId="0" applyFont="0" applyFill="0" applyBorder="0" applyAlignment="0" applyProtection="0">
      <alignment vertical="center"/>
    </xf>
    <xf numFmtId="9" fontId="14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2" fontId="14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12" borderId="7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3" borderId="10" applyNumberFormat="0" applyAlignment="0" applyProtection="0">
      <alignment vertical="center"/>
    </xf>
    <xf numFmtId="0" fontId="24" fillId="14" borderId="11" applyNumberFormat="0" applyAlignment="0" applyProtection="0">
      <alignment vertical="center"/>
    </xf>
    <xf numFmtId="0" fontId="25" fillId="14" borderId="10" applyNumberFormat="0" applyAlignment="0" applyProtection="0">
      <alignment vertical="center"/>
    </xf>
    <xf numFmtId="0" fontId="26" fillId="15" borderId="12" applyNumberFormat="0" applyAlignment="0" applyProtection="0">
      <alignment vertical="center"/>
    </xf>
    <xf numFmtId="0" fontId="27" fillId="0" borderId="13" applyNumberFormat="0" applyFill="0" applyAlignment="0" applyProtection="0">
      <alignment vertical="center"/>
    </xf>
    <xf numFmtId="0" fontId="28" fillId="0" borderId="14" applyNumberFormat="0" applyFill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</cellStyleXfs>
  <cellXfs count="4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176" fontId="3" fillId="0" borderId="1" xfId="0" applyNumberFormat="1" applyFont="1" applyBorder="1" applyAlignment="1">
      <alignment horizontal="center" vertical="center" wrapText="1"/>
    </xf>
    <xf numFmtId="0" fontId="7" fillId="8" borderId="2" xfId="0" applyFont="1" applyFill="1" applyBorder="1" applyAlignment="1">
      <alignment horizontal="center" vertical="center" wrapText="1"/>
    </xf>
    <xf numFmtId="176" fontId="7" fillId="8" borderId="2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0" fillId="8" borderId="2" xfId="0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10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7"/>
  <sheetViews>
    <sheetView workbookViewId="0">
      <selection activeCell="C4" sqref="C4:E4"/>
    </sheetView>
  </sheetViews>
  <sheetFormatPr defaultColWidth="9" defaultRowHeight="13.5" outlineLevelCol="4"/>
  <cols>
    <col min="1" max="5" width="22" customWidth="1"/>
  </cols>
  <sheetData>
    <row r="1" ht="50" customHeight="1" spans="1:5">
      <c r="A1" s="37" t="s">
        <v>0</v>
      </c>
    </row>
    <row r="2" ht="25" customHeight="1" spans="1:5">
      <c r="A2" s="38" t="s">
        <v>1</v>
      </c>
    </row>
    <row r="4" ht="28" customHeight="1" spans="1:5">
      <c r="A4" s="39" t="s">
        <v>2</v>
      </c>
      <c r="B4" s="13"/>
      <c r="C4" s="40" t="s">
        <v>3</v>
      </c>
      <c r="D4" s="12"/>
      <c r="E4" s="13"/>
    </row>
    <row r="5" ht="28" customHeight="1" spans="1:5">
      <c r="A5" s="39" t="s">
        <v>4</v>
      </c>
      <c r="B5" s="13"/>
      <c r="C5" s="40" t="s">
        <v>5</v>
      </c>
      <c r="D5" s="12"/>
      <c r="E5" s="13"/>
    </row>
    <row r="6" ht="28" customHeight="1" spans="1:5">
      <c r="A6" s="39" t="s">
        <v>6</v>
      </c>
      <c r="B6" s="13"/>
      <c r="C6" s="40" t="s">
        <v>7</v>
      </c>
      <c r="D6" s="12"/>
      <c r="E6" s="13"/>
    </row>
    <row r="7" ht="28" customHeight="1" spans="1:5">
      <c r="A7" s="39" t="s">
        <v>8</v>
      </c>
      <c r="B7" s="13"/>
      <c r="C7" s="40" t="s">
        <v>9</v>
      </c>
      <c r="D7" s="12"/>
      <c r="E7" s="13"/>
    </row>
    <row r="8" ht="28" customHeight="1" spans="1:5">
      <c r="A8" s="39" t="s">
        <v>10</v>
      </c>
      <c r="B8" s="13"/>
      <c r="C8" s="40" t="s">
        <v>11</v>
      </c>
      <c r="D8" s="12"/>
      <c r="E8" s="13"/>
    </row>
    <row r="9" ht="28" customHeight="1" spans="1:5">
      <c r="A9" s="39" t="s">
        <v>12</v>
      </c>
      <c r="B9" s="13"/>
      <c r="C9" s="40" t="s">
        <v>13</v>
      </c>
      <c r="D9" s="12"/>
      <c r="E9" s="13"/>
    </row>
    <row r="11" ht="35" customHeight="1" spans="1:5">
      <c r="A11" s="9" t="s">
        <v>14</v>
      </c>
    </row>
    <row r="12" ht="30" customHeight="1" spans="1:5">
      <c r="A12" s="41" t="s">
        <v>15</v>
      </c>
      <c r="B12" s="41" t="s">
        <v>16</v>
      </c>
      <c r="C12" s="41" t="s">
        <v>17</v>
      </c>
      <c r="D12" s="41" t="s">
        <v>18</v>
      </c>
      <c r="E12" s="41" t="s">
        <v>19</v>
      </c>
    </row>
    <row r="13" ht="41.65" spans="1:5">
      <c r="A13" s="35" t="s">
        <v>20</v>
      </c>
      <c r="B13" s="4" t="s">
        <v>21</v>
      </c>
      <c r="C13" s="31" t="s">
        <v>22</v>
      </c>
      <c r="D13" s="4">
        <v>53</v>
      </c>
      <c r="E13" s="4">
        <v>424</v>
      </c>
    </row>
    <row r="14" ht="41.65" spans="1:5">
      <c r="A14" s="35" t="s">
        <v>23</v>
      </c>
      <c r="B14" s="4" t="s">
        <v>24</v>
      </c>
      <c r="C14" s="31" t="s">
        <v>25</v>
      </c>
      <c r="D14" s="4">
        <v>54</v>
      </c>
      <c r="E14" s="4">
        <v>432</v>
      </c>
    </row>
    <row r="15" ht="41.65" spans="1:5">
      <c r="A15" s="35" t="s">
        <v>26</v>
      </c>
      <c r="B15" s="4" t="s">
        <v>27</v>
      </c>
      <c r="C15" s="31" t="s">
        <v>28</v>
      </c>
      <c r="D15" s="4">
        <v>54</v>
      </c>
      <c r="E15" s="4">
        <v>432</v>
      </c>
    </row>
    <row r="16" ht="27.75" spans="1:5">
      <c r="A16" s="35" t="s">
        <v>29</v>
      </c>
      <c r="B16" s="4" t="s">
        <v>30</v>
      </c>
      <c r="C16" s="31" t="s">
        <v>31</v>
      </c>
      <c r="D16" s="4">
        <v>35</v>
      </c>
      <c r="E16" s="4">
        <v>280</v>
      </c>
    </row>
    <row r="17" ht="30" customHeight="1" spans="1:5">
      <c r="A17" s="42" t="s">
        <v>32</v>
      </c>
      <c r="B17" s="25"/>
      <c r="C17" s="25"/>
      <c r="D17" s="42" t="s">
        <v>33</v>
      </c>
      <c r="E17" s="42">
        <f>SUM(E13:E16)</f>
        <v>1568</v>
      </c>
    </row>
    <row r="19" ht="35" customHeight="1" spans="1:5">
      <c r="A19" s="9" t="s">
        <v>34</v>
      </c>
    </row>
    <row r="20" ht="25" customHeight="1" spans="1:5">
      <c r="A20" s="43" t="s">
        <v>35</v>
      </c>
    </row>
    <row r="21" ht="25" customHeight="1" spans="1:5">
      <c r="A21" s="43" t="s">
        <v>36</v>
      </c>
    </row>
    <row r="22" ht="25" customHeight="1" spans="1:5">
      <c r="A22" s="43" t="s">
        <v>37</v>
      </c>
    </row>
    <row r="23" ht="25" customHeight="1" spans="1:5">
      <c r="A23" s="43" t="s">
        <v>38</v>
      </c>
    </row>
    <row r="24" ht="25" customHeight="1" spans="1:5">
      <c r="A24" s="43" t="s">
        <v>39</v>
      </c>
    </row>
    <row r="25" ht="25" customHeight="1" spans="1:5">
      <c r="A25" s="43" t="s">
        <v>40</v>
      </c>
    </row>
    <row r="26" ht="25" customHeight="1" spans="1:5">
      <c r="A26" s="43" t="s">
        <v>41</v>
      </c>
    </row>
    <row r="27" ht="25" customHeight="1" spans="1:5">
      <c r="A27" s="43" t="s">
        <v>42</v>
      </c>
    </row>
  </sheetData>
  <mergeCells count="24">
    <mergeCell ref="A1:E1"/>
    <mergeCell ref="A2:E2"/>
    <mergeCell ref="A4:B4"/>
    <mergeCell ref="C4:E4"/>
    <mergeCell ref="A5:B5"/>
    <mergeCell ref="C5:E5"/>
    <mergeCell ref="A6:B6"/>
    <mergeCell ref="C6:E6"/>
    <mergeCell ref="A7:B7"/>
    <mergeCell ref="C7:E7"/>
    <mergeCell ref="A8:B8"/>
    <mergeCell ref="C8:E8"/>
    <mergeCell ref="A9:B9"/>
    <mergeCell ref="C9:E9"/>
    <mergeCell ref="A11:E11"/>
    <mergeCell ref="A19:E19"/>
    <mergeCell ref="A20:E20"/>
    <mergeCell ref="A21:E21"/>
    <mergeCell ref="A22:E22"/>
    <mergeCell ref="A23:E23"/>
    <mergeCell ref="A24:E24"/>
    <mergeCell ref="A25:E25"/>
    <mergeCell ref="A26:E26"/>
    <mergeCell ref="A27:E2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3"/>
  <sheetViews>
    <sheetView workbookViewId="0">
      <selection activeCell="A3" sqref="A3:F17"/>
    </sheetView>
  </sheetViews>
  <sheetFormatPr defaultColWidth="9" defaultRowHeight="13.5" outlineLevelCol="5"/>
  <cols>
    <col min="1" max="1" width="16" customWidth="1"/>
    <col min="2" max="2" width="14" customWidth="1"/>
    <col min="3" max="3" width="16" customWidth="1"/>
    <col min="4" max="4" width="50" customWidth="1"/>
    <col min="5" max="5" width="12" customWidth="1"/>
    <col min="6" max="6" width="14" customWidth="1"/>
  </cols>
  <sheetData>
    <row r="1" ht="40" customHeight="1" spans="1:6">
      <c r="A1" s="1" t="s">
        <v>43</v>
      </c>
    </row>
    <row r="2" ht="30" customHeight="1" spans="1:6">
      <c r="A2" s="30" t="s">
        <v>44</v>
      </c>
      <c r="B2" s="30" t="s">
        <v>45</v>
      </c>
      <c r="C2" s="30" t="s">
        <v>46</v>
      </c>
      <c r="D2" s="30" t="s">
        <v>47</v>
      </c>
      <c r="E2" s="30" t="s">
        <v>48</v>
      </c>
      <c r="F2" s="30" t="s">
        <v>49</v>
      </c>
    </row>
    <row r="3" ht="28" customHeight="1" spans="1:6">
      <c r="A3" s="3" t="s">
        <v>50</v>
      </c>
      <c r="B3" s="3" t="s">
        <v>51</v>
      </c>
      <c r="C3" s="3" t="s">
        <v>52</v>
      </c>
      <c r="D3" s="31" t="s">
        <v>53</v>
      </c>
      <c r="E3" s="4" t="s">
        <v>54</v>
      </c>
      <c r="F3" s="4">
        <v>6</v>
      </c>
    </row>
    <row r="4" ht="28" customHeight="1" spans="1:6">
      <c r="A4" s="3" t="s">
        <v>54</v>
      </c>
      <c r="B4" s="3" t="s">
        <v>54</v>
      </c>
      <c r="C4" s="3" t="s">
        <v>55</v>
      </c>
      <c r="D4" s="31" t="s">
        <v>56</v>
      </c>
      <c r="E4" s="4" t="s">
        <v>54</v>
      </c>
      <c r="F4" s="4">
        <v>1</v>
      </c>
    </row>
    <row r="5" ht="28" customHeight="1" spans="1:6">
      <c r="A5" s="3" t="s">
        <v>54</v>
      </c>
      <c r="B5" s="3" t="s">
        <v>54</v>
      </c>
      <c r="C5" s="3" t="s">
        <v>51</v>
      </c>
      <c r="D5" s="31" t="s">
        <v>57</v>
      </c>
      <c r="E5" s="4" t="s">
        <v>54</v>
      </c>
      <c r="F5" s="4">
        <v>2</v>
      </c>
    </row>
    <row r="6" ht="28" customHeight="1" spans="1:6">
      <c r="A6" s="3" t="s">
        <v>54</v>
      </c>
      <c r="B6" s="3" t="s">
        <v>58</v>
      </c>
      <c r="C6" s="3" t="s">
        <v>59</v>
      </c>
      <c r="D6" s="31" t="s">
        <v>60</v>
      </c>
      <c r="E6" s="4" t="s">
        <v>54</v>
      </c>
      <c r="F6" s="4">
        <v>1</v>
      </c>
    </row>
    <row r="7" ht="28" customHeight="1" spans="1:6">
      <c r="A7" s="3" t="s">
        <v>54</v>
      </c>
      <c r="B7" s="3" t="s">
        <v>54</v>
      </c>
      <c r="C7" s="3" t="s">
        <v>61</v>
      </c>
      <c r="D7" s="31" t="s">
        <v>62</v>
      </c>
      <c r="E7" s="4" t="s">
        <v>54</v>
      </c>
      <c r="F7" s="4">
        <v>2</v>
      </c>
    </row>
    <row r="8" ht="28" customHeight="1" spans="1:6">
      <c r="A8" s="3" t="s">
        <v>54</v>
      </c>
      <c r="B8" s="3" t="s">
        <v>54</v>
      </c>
      <c r="C8" s="3" t="s">
        <v>63</v>
      </c>
      <c r="D8" s="31" t="s">
        <v>64</v>
      </c>
      <c r="E8" s="4" t="s">
        <v>54</v>
      </c>
      <c r="F8" s="4">
        <v>2</v>
      </c>
    </row>
    <row r="9" ht="28" customHeight="1" spans="1:6">
      <c r="A9" s="32" t="s">
        <v>54</v>
      </c>
      <c r="B9" s="32" t="s">
        <v>54</v>
      </c>
      <c r="C9" s="32" t="s">
        <v>65</v>
      </c>
      <c r="D9" s="33" t="s">
        <v>66</v>
      </c>
      <c r="E9" s="34" t="s">
        <v>67</v>
      </c>
      <c r="F9" s="35">
        <v>3</v>
      </c>
    </row>
    <row r="10" ht="28" customHeight="1" spans="1:6">
      <c r="A10" s="32" t="s">
        <v>54</v>
      </c>
      <c r="B10" s="32" t="s">
        <v>54</v>
      </c>
      <c r="C10" s="32" t="s">
        <v>68</v>
      </c>
      <c r="D10" s="33" t="s">
        <v>69</v>
      </c>
      <c r="E10" s="34" t="s">
        <v>67</v>
      </c>
      <c r="F10" s="35">
        <v>5</v>
      </c>
    </row>
    <row r="11" ht="28" customHeight="1" spans="1:6">
      <c r="A11" s="32" t="s">
        <v>54</v>
      </c>
      <c r="B11" s="32" t="s">
        <v>54</v>
      </c>
      <c r="C11" s="32" t="s">
        <v>70</v>
      </c>
      <c r="D11" s="33" t="s">
        <v>71</v>
      </c>
      <c r="E11" s="34" t="s">
        <v>67</v>
      </c>
      <c r="F11" s="35">
        <v>3</v>
      </c>
    </row>
    <row r="12" ht="28" customHeight="1" spans="1:6">
      <c r="A12" s="32" t="s">
        <v>54</v>
      </c>
      <c r="B12" s="32" t="s">
        <v>54</v>
      </c>
      <c r="C12" s="32" t="s">
        <v>72</v>
      </c>
      <c r="D12" s="33" t="s">
        <v>73</v>
      </c>
      <c r="E12" s="34" t="s">
        <v>67</v>
      </c>
      <c r="F12" s="35">
        <v>2</v>
      </c>
    </row>
    <row r="13" ht="28" customHeight="1" spans="1:6">
      <c r="A13" s="3" t="s">
        <v>54</v>
      </c>
      <c r="B13" s="3" t="s">
        <v>54</v>
      </c>
      <c r="C13" s="3" t="s">
        <v>74</v>
      </c>
      <c r="D13" s="31" t="s">
        <v>75</v>
      </c>
      <c r="E13" s="4" t="s">
        <v>54</v>
      </c>
      <c r="F13" s="4">
        <v>1</v>
      </c>
    </row>
    <row r="14" ht="28" customHeight="1" spans="1:6">
      <c r="A14" s="3" t="s">
        <v>54</v>
      </c>
      <c r="B14" s="3" t="s">
        <v>76</v>
      </c>
      <c r="C14" s="3" t="s">
        <v>59</v>
      </c>
      <c r="D14" s="31" t="s">
        <v>77</v>
      </c>
      <c r="E14" s="4" t="s">
        <v>54</v>
      </c>
      <c r="F14" s="4">
        <v>1</v>
      </c>
    </row>
    <row r="15" ht="28" customHeight="1" spans="1:6">
      <c r="A15" s="3" t="s">
        <v>54</v>
      </c>
      <c r="B15" s="3" t="s">
        <v>54</v>
      </c>
      <c r="C15" s="3" t="s">
        <v>78</v>
      </c>
      <c r="D15" s="31" t="s">
        <v>79</v>
      </c>
      <c r="E15" s="4" t="s">
        <v>54</v>
      </c>
      <c r="F15" s="4">
        <v>2</v>
      </c>
    </row>
    <row r="16" ht="28" customHeight="1" spans="1:6">
      <c r="A16" s="3" t="s">
        <v>54</v>
      </c>
      <c r="B16" s="3" t="s">
        <v>54</v>
      </c>
      <c r="C16" s="3" t="s">
        <v>80</v>
      </c>
      <c r="D16" s="31" t="s">
        <v>81</v>
      </c>
      <c r="E16" s="4" t="s">
        <v>54</v>
      </c>
      <c r="F16" s="4">
        <v>2</v>
      </c>
    </row>
    <row r="17" ht="28" customHeight="1" spans="1:6">
      <c r="A17" s="32" t="s">
        <v>54</v>
      </c>
      <c r="B17" s="32" t="s">
        <v>54</v>
      </c>
      <c r="C17" s="32" t="s">
        <v>82</v>
      </c>
      <c r="D17" s="33" t="s">
        <v>83</v>
      </c>
      <c r="E17" s="34" t="s">
        <v>67</v>
      </c>
      <c r="F17" s="35">
        <v>4</v>
      </c>
    </row>
    <row r="18" ht="28" customHeight="1" spans="1:6">
      <c r="A18" s="32" t="s">
        <v>54</v>
      </c>
      <c r="B18" s="32" t="s">
        <v>54</v>
      </c>
      <c r="C18" s="32" t="s">
        <v>84</v>
      </c>
      <c r="D18" s="33" t="s">
        <v>85</v>
      </c>
      <c r="E18" s="34" t="s">
        <v>67</v>
      </c>
      <c r="F18" s="35">
        <v>3</v>
      </c>
    </row>
    <row r="19" ht="28" customHeight="1" spans="1:6">
      <c r="A19" s="32" t="s">
        <v>54</v>
      </c>
      <c r="B19" s="32" t="s">
        <v>54</v>
      </c>
      <c r="C19" s="32" t="s">
        <v>86</v>
      </c>
      <c r="D19" s="33" t="s">
        <v>87</v>
      </c>
      <c r="E19" s="34" t="s">
        <v>67</v>
      </c>
      <c r="F19" s="35">
        <v>2</v>
      </c>
    </row>
    <row r="20" ht="28" customHeight="1" spans="1:6">
      <c r="A20" s="32" t="s">
        <v>54</v>
      </c>
      <c r="B20" s="32" t="s">
        <v>54</v>
      </c>
      <c r="C20" s="32" t="s">
        <v>88</v>
      </c>
      <c r="D20" s="33" t="s">
        <v>89</v>
      </c>
      <c r="E20" s="34" t="s">
        <v>67</v>
      </c>
      <c r="F20" s="35">
        <v>2</v>
      </c>
    </row>
    <row r="21" ht="28" customHeight="1" spans="1:6">
      <c r="A21" s="3" t="s">
        <v>54</v>
      </c>
      <c r="B21" s="3" t="s">
        <v>90</v>
      </c>
      <c r="C21" s="3" t="s">
        <v>91</v>
      </c>
      <c r="D21" s="31" t="s">
        <v>92</v>
      </c>
      <c r="E21" s="4" t="s">
        <v>54</v>
      </c>
      <c r="F21" s="4">
        <v>1</v>
      </c>
    </row>
    <row r="22" ht="28" customHeight="1" spans="1:6">
      <c r="A22" s="3" t="s">
        <v>54</v>
      </c>
      <c r="B22" s="3" t="s">
        <v>54</v>
      </c>
      <c r="C22" s="3" t="s">
        <v>93</v>
      </c>
      <c r="D22" s="31" t="s">
        <v>94</v>
      </c>
      <c r="E22" s="4" t="s">
        <v>54</v>
      </c>
      <c r="F22" s="4">
        <v>1</v>
      </c>
    </row>
    <row r="23" ht="28" customHeight="1" spans="1:6">
      <c r="A23" s="3" t="s">
        <v>54</v>
      </c>
      <c r="B23" s="3" t="s">
        <v>54</v>
      </c>
      <c r="C23" s="3" t="s">
        <v>95</v>
      </c>
      <c r="D23" s="31" t="s">
        <v>96</v>
      </c>
      <c r="E23" s="4" t="s">
        <v>54</v>
      </c>
      <c r="F23" s="4">
        <v>1</v>
      </c>
    </row>
    <row r="24" ht="28" customHeight="1" spans="1:6">
      <c r="A24" s="3" t="s">
        <v>54</v>
      </c>
      <c r="B24" s="3" t="s">
        <v>54</v>
      </c>
      <c r="C24" s="3" t="s">
        <v>97</v>
      </c>
      <c r="D24" s="31" t="s">
        <v>98</v>
      </c>
      <c r="E24" s="4" t="s">
        <v>54</v>
      </c>
      <c r="F24" s="4">
        <v>1</v>
      </c>
    </row>
    <row r="25" ht="28" customHeight="1" spans="1:6">
      <c r="A25" s="3" t="s">
        <v>54</v>
      </c>
      <c r="B25" s="3" t="s">
        <v>54</v>
      </c>
      <c r="C25" s="3" t="s">
        <v>99</v>
      </c>
      <c r="D25" s="31" t="s">
        <v>100</v>
      </c>
      <c r="E25" s="4" t="s">
        <v>54</v>
      </c>
      <c r="F25" s="4">
        <v>1.5</v>
      </c>
    </row>
    <row r="26" ht="28" customHeight="1" spans="1:6">
      <c r="A26" s="3" t="s">
        <v>54</v>
      </c>
      <c r="B26" s="3" t="s">
        <v>54</v>
      </c>
      <c r="C26" s="3" t="s">
        <v>101</v>
      </c>
      <c r="D26" s="31" t="s">
        <v>102</v>
      </c>
      <c r="E26" s="4" t="s">
        <v>54</v>
      </c>
      <c r="F26" s="4">
        <v>1.5</v>
      </c>
    </row>
    <row r="27" ht="28" customHeight="1" spans="1:6">
      <c r="A27" s="3" t="s">
        <v>54</v>
      </c>
      <c r="B27" s="3" t="s">
        <v>54</v>
      </c>
      <c r="C27" s="3" t="s">
        <v>103</v>
      </c>
      <c r="D27" s="31" t="s">
        <v>104</v>
      </c>
      <c r="E27" s="4" t="s">
        <v>54</v>
      </c>
      <c r="F27" s="4">
        <v>1</v>
      </c>
    </row>
    <row r="28" ht="28" customHeight="1" spans="1:6">
      <c r="A28" s="3" t="s">
        <v>54</v>
      </c>
      <c r="B28" s="3" t="s">
        <v>54</v>
      </c>
      <c r="C28" s="3" t="s">
        <v>105</v>
      </c>
      <c r="D28" s="31" t="s">
        <v>106</v>
      </c>
      <c r="E28" s="4" t="s">
        <v>54</v>
      </c>
      <c r="F28" s="4">
        <v>1</v>
      </c>
    </row>
    <row r="29" ht="28" customHeight="1" spans="1:6">
      <c r="A29" s="3" t="s">
        <v>54</v>
      </c>
      <c r="B29" s="3" t="s">
        <v>54</v>
      </c>
      <c r="C29" s="3" t="s">
        <v>107</v>
      </c>
      <c r="D29" s="31" t="s">
        <v>108</v>
      </c>
      <c r="E29" s="4" t="s">
        <v>54</v>
      </c>
      <c r="F29" s="4">
        <v>1</v>
      </c>
    </row>
    <row r="30" ht="28" customHeight="1" spans="1:6">
      <c r="A30" s="3" t="s">
        <v>54</v>
      </c>
      <c r="B30" s="3" t="s">
        <v>54</v>
      </c>
      <c r="C30" s="3" t="s">
        <v>109</v>
      </c>
      <c r="D30" s="31" t="s">
        <v>110</v>
      </c>
      <c r="E30" s="4" t="s">
        <v>54</v>
      </c>
      <c r="F30" s="4">
        <v>1.5</v>
      </c>
    </row>
    <row r="31" ht="28" customHeight="1" spans="1:6">
      <c r="A31" s="3" t="s">
        <v>54</v>
      </c>
      <c r="B31" s="3" t="s">
        <v>54</v>
      </c>
      <c r="C31" s="3" t="s">
        <v>111</v>
      </c>
      <c r="D31" s="31" t="s">
        <v>112</v>
      </c>
      <c r="E31" s="4" t="s">
        <v>54</v>
      </c>
      <c r="F31" s="4">
        <v>2</v>
      </c>
    </row>
    <row r="32" ht="28" customHeight="1" spans="1:6">
      <c r="A32" s="32" t="s">
        <v>54</v>
      </c>
      <c r="B32" s="32" t="s">
        <v>113</v>
      </c>
      <c r="C32" s="32" t="s">
        <v>113</v>
      </c>
      <c r="D32" s="33" t="s">
        <v>114</v>
      </c>
      <c r="E32" s="34" t="s">
        <v>67</v>
      </c>
      <c r="F32" s="35">
        <v>3</v>
      </c>
    </row>
    <row r="33" ht="28" customHeight="1" spans="1:6">
      <c r="A33" s="3" t="s">
        <v>54</v>
      </c>
      <c r="B33" s="3" t="s">
        <v>54</v>
      </c>
      <c r="C33" s="3" t="s">
        <v>115</v>
      </c>
      <c r="D33" s="31" t="s">
        <v>116</v>
      </c>
      <c r="E33" s="4" t="s">
        <v>54</v>
      </c>
      <c r="F33" s="4">
        <v>1.5</v>
      </c>
    </row>
    <row r="34" ht="28" customHeight="1" spans="1:6">
      <c r="A34" s="3" t="s">
        <v>54</v>
      </c>
      <c r="B34" s="3" t="s">
        <v>54</v>
      </c>
      <c r="C34" s="3" t="s">
        <v>117</v>
      </c>
      <c r="D34" s="31" t="s">
        <v>118</v>
      </c>
      <c r="E34" s="4" t="s">
        <v>54</v>
      </c>
      <c r="F34" s="4">
        <v>2</v>
      </c>
    </row>
    <row r="35" ht="28" customHeight="1" spans="1:6">
      <c r="A35" s="3" t="s">
        <v>54</v>
      </c>
      <c r="B35" s="3" t="s">
        <v>54</v>
      </c>
      <c r="C35" s="3" t="s">
        <v>119</v>
      </c>
      <c r="D35" s="31" t="s">
        <v>120</v>
      </c>
      <c r="E35" s="4" t="s">
        <v>54</v>
      </c>
      <c r="F35" s="4">
        <v>2</v>
      </c>
    </row>
    <row r="36" ht="28" customHeight="1" spans="1:6">
      <c r="A36" s="3" t="s">
        <v>54</v>
      </c>
      <c r="B36" s="3" t="s">
        <v>121</v>
      </c>
      <c r="C36" s="3" t="s">
        <v>122</v>
      </c>
      <c r="D36" s="31" t="s">
        <v>123</v>
      </c>
      <c r="E36" s="4" t="s">
        <v>54</v>
      </c>
      <c r="F36" s="4">
        <v>1.5</v>
      </c>
    </row>
    <row r="37" ht="28" customHeight="1" spans="1:6">
      <c r="A37" s="3" t="s">
        <v>54</v>
      </c>
      <c r="B37" s="3" t="s">
        <v>54</v>
      </c>
      <c r="C37" s="3" t="s">
        <v>124</v>
      </c>
      <c r="D37" s="31" t="s">
        <v>125</v>
      </c>
      <c r="E37" s="4" t="s">
        <v>54</v>
      </c>
      <c r="F37" s="4">
        <v>1.5</v>
      </c>
    </row>
    <row r="38" ht="28" customHeight="1" spans="1:6">
      <c r="A38" s="3" t="s">
        <v>54</v>
      </c>
      <c r="B38" s="3" t="s">
        <v>54</v>
      </c>
      <c r="C38" s="3" t="s">
        <v>126</v>
      </c>
      <c r="D38" s="31" t="s">
        <v>127</v>
      </c>
      <c r="E38" s="4" t="s">
        <v>54</v>
      </c>
      <c r="F38" s="4">
        <v>2</v>
      </c>
    </row>
    <row r="39" ht="28" customHeight="1" spans="1:6">
      <c r="A39" s="3" t="s">
        <v>54</v>
      </c>
      <c r="B39" s="3" t="s">
        <v>54</v>
      </c>
      <c r="C39" s="3" t="s">
        <v>128</v>
      </c>
      <c r="D39" s="31" t="s">
        <v>129</v>
      </c>
      <c r="E39" s="4" t="s">
        <v>54</v>
      </c>
      <c r="F39" s="4">
        <v>1</v>
      </c>
    </row>
    <row r="40" ht="28" customHeight="1" spans="1:6">
      <c r="A40" s="3" t="s">
        <v>54</v>
      </c>
      <c r="B40" s="3" t="s">
        <v>54</v>
      </c>
      <c r="C40" s="3" t="s">
        <v>130</v>
      </c>
      <c r="D40" s="31" t="s">
        <v>131</v>
      </c>
      <c r="E40" s="4" t="s">
        <v>54</v>
      </c>
      <c r="F40" s="4">
        <v>1</v>
      </c>
    </row>
    <row r="41" ht="28" customHeight="1" spans="1:6">
      <c r="A41" s="3" t="s">
        <v>54</v>
      </c>
      <c r="B41" s="3" t="s">
        <v>132</v>
      </c>
      <c r="C41" s="3" t="s">
        <v>133</v>
      </c>
      <c r="D41" s="31" t="s">
        <v>134</v>
      </c>
      <c r="E41" s="4" t="s">
        <v>54</v>
      </c>
      <c r="F41" s="4">
        <v>1</v>
      </c>
    </row>
    <row r="42" ht="28" customHeight="1" spans="1:6">
      <c r="A42" s="3" t="s">
        <v>54</v>
      </c>
      <c r="B42" s="3" t="s">
        <v>54</v>
      </c>
      <c r="C42" s="3" t="s">
        <v>135</v>
      </c>
      <c r="D42" s="31" t="s">
        <v>136</v>
      </c>
      <c r="E42" s="4" t="s">
        <v>54</v>
      </c>
      <c r="F42" s="4">
        <v>1</v>
      </c>
    </row>
    <row r="43" ht="14.6" spans="1:6">
      <c r="A43" s="26" t="s">
        <v>137</v>
      </c>
      <c r="B43" s="12"/>
      <c r="C43" s="12"/>
      <c r="D43" s="12"/>
      <c r="E43" s="13"/>
      <c r="F43" s="26">
        <f>SUM(F3:F42)</f>
        <v>75</v>
      </c>
    </row>
    <row r="44" ht="28" customHeight="1" spans="1:6">
      <c r="A44" s="6" t="s">
        <v>138</v>
      </c>
      <c r="B44" s="6" t="s">
        <v>139</v>
      </c>
      <c r="C44" s="6" t="s">
        <v>140</v>
      </c>
      <c r="D44" s="31" t="s">
        <v>141</v>
      </c>
      <c r="E44" s="4" t="s">
        <v>54</v>
      </c>
      <c r="F44" s="4">
        <v>1</v>
      </c>
    </row>
    <row r="45" ht="28" customHeight="1" spans="1:6">
      <c r="A45" s="6" t="s">
        <v>54</v>
      </c>
      <c r="B45" s="6" t="s">
        <v>54</v>
      </c>
      <c r="C45" s="6" t="s">
        <v>142</v>
      </c>
      <c r="D45" s="31" t="s">
        <v>143</v>
      </c>
      <c r="E45" s="4" t="s">
        <v>54</v>
      </c>
      <c r="F45" s="4">
        <v>0.5</v>
      </c>
    </row>
    <row r="46" ht="28" customHeight="1" spans="1:6">
      <c r="A46" s="6" t="s">
        <v>54</v>
      </c>
      <c r="B46" s="6" t="s">
        <v>54</v>
      </c>
      <c r="C46" s="6" t="s">
        <v>144</v>
      </c>
      <c r="D46" s="31" t="s">
        <v>145</v>
      </c>
      <c r="E46" s="4" t="s">
        <v>54</v>
      </c>
      <c r="F46" s="4">
        <v>1</v>
      </c>
    </row>
    <row r="47" ht="28" customHeight="1" spans="1:6">
      <c r="A47" s="6" t="s">
        <v>54</v>
      </c>
      <c r="B47" s="6" t="s">
        <v>54</v>
      </c>
      <c r="C47" s="6" t="s">
        <v>146</v>
      </c>
      <c r="D47" s="31" t="s">
        <v>147</v>
      </c>
      <c r="E47" s="4" t="s">
        <v>54</v>
      </c>
      <c r="F47" s="4">
        <v>0.5</v>
      </c>
    </row>
    <row r="48" ht="28" customHeight="1" spans="1:6">
      <c r="A48" s="6" t="s">
        <v>54</v>
      </c>
      <c r="B48" s="6" t="s">
        <v>54</v>
      </c>
      <c r="C48" s="6" t="s">
        <v>148</v>
      </c>
      <c r="D48" s="31" t="s">
        <v>149</v>
      </c>
      <c r="E48" s="4" t="s">
        <v>54</v>
      </c>
      <c r="F48" s="4">
        <v>1</v>
      </c>
    </row>
    <row r="49" ht="28" customHeight="1" spans="1:6">
      <c r="A49" s="6" t="s">
        <v>54</v>
      </c>
      <c r="B49" s="6" t="s">
        <v>54</v>
      </c>
      <c r="C49" s="6" t="s">
        <v>150</v>
      </c>
      <c r="D49" s="31" t="s">
        <v>151</v>
      </c>
      <c r="E49" s="4" t="s">
        <v>54</v>
      </c>
      <c r="F49" s="4">
        <v>0.5</v>
      </c>
    </row>
    <row r="50" ht="28" customHeight="1" spans="1:6">
      <c r="A50" s="6" t="s">
        <v>54</v>
      </c>
      <c r="B50" s="6" t="s">
        <v>54</v>
      </c>
      <c r="C50" s="6" t="s">
        <v>152</v>
      </c>
      <c r="D50" s="31" t="s">
        <v>153</v>
      </c>
      <c r="E50" s="4" t="s">
        <v>54</v>
      </c>
      <c r="F50" s="4">
        <v>0.5</v>
      </c>
    </row>
    <row r="51" ht="28" customHeight="1" spans="1:6">
      <c r="A51" s="6" t="s">
        <v>54</v>
      </c>
      <c r="B51" s="6" t="s">
        <v>54</v>
      </c>
      <c r="C51" s="6" t="s">
        <v>154</v>
      </c>
      <c r="D51" s="31" t="s">
        <v>155</v>
      </c>
      <c r="E51" s="4" t="s">
        <v>54</v>
      </c>
      <c r="F51" s="4">
        <v>0.5</v>
      </c>
    </row>
    <row r="52" ht="28" customHeight="1" spans="1:6">
      <c r="A52" s="6" t="s">
        <v>54</v>
      </c>
      <c r="B52" s="6" t="s">
        <v>156</v>
      </c>
      <c r="C52" s="6" t="s">
        <v>140</v>
      </c>
      <c r="D52" s="31" t="s">
        <v>157</v>
      </c>
      <c r="E52" s="4" t="s">
        <v>54</v>
      </c>
      <c r="F52" s="4">
        <v>1</v>
      </c>
    </row>
    <row r="53" ht="28" customHeight="1" spans="1:6">
      <c r="A53" s="6" t="s">
        <v>54</v>
      </c>
      <c r="B53" s="6" t="s">
        <v>54</v>
      </c>
      <c r="C53" s="6" t="s">
        <v>158</v>
      </c>
      <c r="D53" s="31" t="s">
        <v>159</v>
      </c>
      <c r="E53" s="4" t="s">
        <v>54</v>
      </c>
      <c r="F53" s="4">
        <v>0.5</v>
      </c>
    </row>
    <row r="54" ht="28" customHeight="1" spans="1:6">
      <c r="A54" s="6" t="s">
        <v>54</v>
      </c>
      <c r="B54" s="6" t="s">
        <v>54</v>
      </c>
      <c r="C54" s="6" t="s">
        <v>160</v>
      </c>
      <c r="D54" s="31" t="s">
        <v>161</v>
      </c>
      <c r="E54" s="4" t="s">
        <v>54</v>
      </c>
      <c r="F54" s="4">
        <v>0.5</v>
      </c>
    </row>
    <row r="55" ht="28" customHeight="1" spans="1:6">
      <c r="A55" s="6" t="s">
        <v>54</v>
      </c>
      <c r="B55" s="6" t="s">
        <v>54</v>
      </c>
      <c r="C55" s="6" t="s">
        <v>162</v>
      </c>
      <c r="D55" s="31" t="s">
        <v>163</v>
      </c>
      <c r="E55" s="4" t="s">
        <v>54</v>
      </c>
      <c r="F55" s="4">
        <v>0.5</v>
      </c>
    </row>
    <row r="56" ht="28" customHeight="1" spans="1:6">
      <c r="A56" s="6" t="s">
        <v>54</v>
      </c>
      <c r="B56" s="6" t="s">
        <v>54</v>
      </c>
      <c r="C56" s="6" t="s">
        <v>164</v>
      </c>
      <c r="D56" s="31" t="s">
        <v>165</v>
      </c>
      <c r="E56" s="4" t="s">
        <v>54</v>
      </c>
      <c r="F56" s="4">
        <v>1</v>
      </c>
    </row>
    <row r="57" ht="28" customHeight="1" spans="1:6">
      <c r="A57" s="6" t="s">
        <v>54</v>
      </c>
      <c r="B57" s="6" t="s">
        <v>54</v>
      </c>
      <c r="C57" s="6" t="s">
        <v>166</v>
      </c>
      <c r="D57" s="31" t="s">
        <v>167</v>
      </c>
      <c r="E57" s="4" t="s">
        <v>54</v>
      </c>
      <c r="F57" s="4">
        <v>0.5</v>
      </c>
    </row>
    <row r="58" ht="28" customHeight="1" spans="1:6">
      <c r="A58" s="6" t="s">
        <v>54</v>
      </c>
      <c r="B58" s="6" t="s">
        <v>54</v>
      </c>
      <c r="C58" s="6" t="s">
        <v>168</v>
      </c>
      <c r="D58" s="31" t="s">
        <v>169</v>
      </c>
      <c r="E58" s="4" t="s">
        <v>54</v>
      </c>
      <c r="F58" s="4">
        <v>0.5</v>
      </c>
    </row>
    <row r="59" ht="28" customHeight="1" spans="1:6">
      <c r="A59" s="6" t="s">
        <v>54</v>
      </c>
      <c r="B59" s="6" t="s">
        <v>54</v>
      </c>
      <c r="C59" s="6" t="s">
        <v>170</v>
      </c>
      <c r="D59" s="31" t="s">
        <v>171</v>
      </c>
      <c r="E59" s="4" t="s">
        <v>54</v>
      </c>
      <c r="F59" s="4">
        <v>0.5</v>
      </c>
    </row>
    <row r="60" ht="28" customHeight="1" spans="1:6">
      <c r="A60" s="6" t="s">
        <v>54</v>
      </c>
      <c r="B60" s="6" t="s">
        <v>54</v>
      </c>
      <c r="C60" s="6" t="s">
        <v>172</v>
      </c>
      <c r="D60" s="31" t="s">
        <v>173</v>
      </c>
      <c r="E60" s="4" t="s">
        <v>54</v>
      </c>
      <c r="F60" s="4">
        <v>0.5</v>
      </c>
    </row>
    <row r="61" ht="28" customHeight="1" spans="1:6">
      <c r="A61" s="6" t="s">
        <v>54</v>
      </c>
      <c r="B61" s="6" t="s">
        <v>54</v>
      </c>
      <c r="C61" s="6" t="s">
        <v>174</v>
      </c>
      <c r="D61" s="31" t="s">
        <v>175</v>
      </c>
      <c r="E61" s="4" t="s">
        <v>54</v>
      </c>
      <c r="F61" s="4">
        <v>0.5</v>
      </c>
    </row>
    <row r="62" ht="14.6" spans="1:6">
      <c r="A62" s="26" t="s">
        <v>176</v>
      </c>
      <c r="B62" s="12"/>
      <c r="C62" s="12"/>
      <c r="D62" s="12"/>
      <c r="E62" s="13"/>
      <c r="F62" s="26">
        <f>SUM(F44:F61)</f>
        <v>11.5</v>
      </c>
    </row>
    <row r="63" ht="28" customHeight="1" spans="1:6">
      <c r="A63" s="5" t="s">
        <v>177</v>
      </c>
      <c r="B63" s="5" t="s">
        <v>178</v>
      </c>
      <c r="C63" s="5" t="s">
        <v>178</v>
      </c>
      <c r="D63" s="31" t="s">
        <v>179</v>
      </c>
      <c r="E63" s="4" t="s">
        <v>54</v>
      </c>
      <c r="F63" s="4">
        <v>2</v>
      </c>
    </row>
    <row r="64" ht="28" customHeight="1" spans="1:6">
      <c r="A64" s="36" t="s">
        <v>54</v>
      </c>
      <c r="B64" s="36" t="s">
        <v>180</v>
      </c>
      <c r="C64" s="36" t="s">
        <v>181</v>
      </c>
      <c r="D64" s="33" t="s">
        <v>182</v>
      </c>
      <c r="E64" s="34" t="s">
        <v>67</v>
      </c>
      <c r="F64" s="35">
        <v>3</v>
      </c>
    </row>
    <row r="65" ht="28" customHeight="1" spans="1:6">
      <c r="A65" s="5" t="s">
        <v>54</v>
      </c>
      <c r="B65" s="5" t="s">
        <v>54</v>
      </c>
      <c r="C65" s="5" t="s">
        <v>183</v>
      </c>
      <c r="D65" s="31" t="s">
        <v>184</v>
      </c>
      <c r="E65" s="4" t="s">
        <v>54</v>
      </c>
      <c r="F65" s="4">
        <v>1.5</v>
      </c>
    </row>
    <row r="66" ht="28" customHeight="1" spans="1:6">
      <c r="A66" s="36" t="s">
        <v>54</v>
      </c>
      <c r="B66" s="36" t="s">
        <v>185</v>
      </c>
      <c r="C66" s="36" t="s">
        <v>186</v>
      </c>
      <c r="D66" s="33" t="s">
        <v>187</v>
      </c>
      <c r="E66" s="34" t="s">
        <v>67</v>
      </c>
      <c r="F66" s="35">
        <v>2</v>
      </c>
    </row>
    <row r="67" ht="28" customHeight="1" spans="1:6">
      <c r="A67" s="36" t="s">
        <v>54</v>
      </c>
      <c r="B67" s="36" t="s">
        <v>54</v>
      </c>
      <c r="C67" s="36" t="s">
        <v>188</v>
      </c>
      <c r="D67" s="33" t="s">
        <v>189</v>
      </c>
      <c r="E67" s="34" t="s">
        <v>67</v>
      </c>
      <c r="F67" s="35">
        <v>2</v>
      </c>
    </row>
    <row r="68" ht="28" customHeight="1" spans="1:6">
      <c r="A68" s="5" t="s">
        <v>54</v>
      </c>
      <c r="B68" s="5" t="s">
        <v>190</v>
      </c>
      <c r="C68" s="5" t="s">
        <v>191</v>
      </c>
      <c r="D68" s="31" t="s">
        <v>192</v>
      </c>
      <c r="E68" s="4" t="s">
        <v>54</v>
      </c>
      <c r="F68" s="4">
        <v>1.5</v>
      </c>
    </row>
    <row r="69" ht="28" customHeight="1" spans="1:6">
      <c r="A69" s="5" t="s">
        <v>54</v>
      </c>
      <c r="B69" s="5" t="s">
        <v>54</v>
      </c>
      <c r="C69" s="5" t="s">
        <v>193</v>
      </c>
      <c r="D69" s="31" t="s">
        <v>194</v>
      </c>
      <c r="E69" s="4" t="s">
        <v>54</v>
      </c>
      <c r="F69" s="4">
        <v>1.5</v>
      </c>
    </row>
    <row r="70" ht="28" customHeight="1" spans="1:6">
      <c r="A70" s="5" t="s">
        <v>54</v>
      </c>
      <c r="B70" s="5" t="s">
        <v>54</v>
      </c>
      <c r="C70" s="5" t="s">
        <v>195</v>
      </c>
      <c r="D70" s="31" t="s">
        <v>196</v>
      </c>
      <c r="E70" s="4" t="s">
        <v>54</v>
      </c>
      <c r="F70" s="4">
        <v>1.5</v>
      </c>
    </row>
    <row r="71" ht="28" customHeight="1" spans="1:6">
      <c r="A71" s="5" t="s">
        <v>54</v>
      </c>
      <c r="B71" s="5" t="s">
        <v>197</v>
      </c>
      <c r="C71" s="5" t="s">
        <v>197</v>
      </c>
      <c r="D71" s="31" t="s">
        <v>198</v>
      </c>
      <c r="E71" s="4" t="s">
        <v>54</v>
      </c>
      <c r="F71" s="4">
        <v>1</v>
      </c>
    </row>
    <row r="72" ht="28" customHeight="1" spans="1:6">
      <c r="A72" s="5" t="s">
        <v>54</v>
      </c>
      <c r="B72" s="5" t="s">
        <v>54</v>
      </c>
      <c r="C72" s="5" t="s">
        <v>199</v>
      </c>
      <c r="D72" s="31" t="s">
        <v>200</v>
      </c>
      <c r="E72" s="4" t="s">
        <v>54</v>
      </c>
      <c r="F72" s="4">
        <v>1</v>
      </c>
    </row>
    <row r="73" ht="28" customHeight="1" spans="1:6">
      <c r="A73" s="5" t="s">
        <v>54</v>
      </c>
      <c r="B73" s="5" t="s">
        <v>54</v>
      </c>
      <c r="C73" s="5" t="s">
        <v>201</v>
      </c>
      <c r="D73" s="31" t="s">
        <v>202</v>
      </c>
      <c r="E73" s="4" t="s">
        <v>54</v>
      </c>
      <c r="F73" s="4">
        <v>1</v>
      </c>
    </row>
    <row r="74" ht="28" customHeight="1" spans="1:6">
      <c r="A74" s="5" t="s">
        <v>54</v>
      </c>
      <c r="B74" s="5" t="s">
        <v>54</v>
      </c>
      <c r="C74" s="5" t="s">
        <v>203</v>
      </c>
      <c r="D74" s="31" t="s">
        <v>204</v>
      </c>
      <c r="E74" s="4" t="s">
        <v>54</v>
      </c>
      <c r="F74" s="4">
        <v>1</v>
      </c>
    </row>
    <row r="75" ht="28" customHeight="1" spans="1:6">
      <c r="A75" s="5" t="s">
        <v>54</v>
      </c>
      <c r="B75" s="5" t="s">
        <v>205</v>
      </c>
      <c r="C75" s="5" t="s">
        <v>206</v>
      </c>
      <c r="D75" s="31" t="s">
        <v>207</v>
      </c>
      <c r="E75" s="4" t="s">
        <v>54</v>
      </c>
      <c r="F75" s="4">
        <v>1.5</v>
      </c>
    </row>
    <row r="76" ht="28" customHeight="1" spans="1:6">
      <c r="A76" s="5" t="s">
        <v>54</v>
      </c>
      <c r="B76" s="5" t="s">
        <v>208</v>
      </c>
      <c r="C76" s="5" t="s">
        <v>209</v>
      </c>
      <c r="D76" s="31" t="s">
        <v>210</v>
      </c>
      <c r="E76" s="4" t="s">
        <v>54</v>
      </c>
      <c r="F76" s="4">
        <v>1.5</v>
      </c>
    </row>
    <row r="77" ht="28" customHeight="1" spans="1:6">
      <c r="A77" s="5" t="s">
        <v>54</v>
      </c>
      <c r="B77" s="5" t="s">
        <v>211</v>
      </c>
      <c r="C77" s="5" t="s">
        <v>212</v>
      </c>
      <c r="D77" s="31" t="s">
        <v>213</v>
      </c>
      <c r="E77" s="4" t="s">
        <v>54</v>
      </c>
      <c r="F77" s="4">
        <v>1</v>
      </c>
    </row>
    <row r="78" ht="28" customHeight="1" spans="1:6">
      <c r="A78" s="5" t="s">
        <v>54</v>
      </c>
      <c r="B78" s="5" t="s">
        <v>54</v>
      </c>
      <c r="C78" s="5" t="s">
        <v>214</v>
      </c>
      <c r="D78" s="31" t="s">
        <v>215</v>
      </c>
      <c r="E78" s="4" t="s">
        <v>54</v>
      </c>
      <c r="F78" s="4">
        <v>1</v>
      </c>
    </row>
    <row r="79" ht="28" customHeight="1" spans="1:6">
      <c r="A79" s="5" t="s">
        <v>54</v>
      </c>
      <c r="B79" s="5" t="s">
        <v>54</v>
      </c>
      <c r="C79" s="5" t="s">
        <v>216</v>
      </c>
      <c r="D79" s="31" t="s">
        <v>217</v>
      </c>
      <c r="E79" s="4" t="s">
        <v>54</v>
      </c>
      <c r="F79" s="4">
        <v>1</v>
      </c>
    </row>
    <row r="80" ht="28" customHeight="1" spans="1:6">
      <c r="A80" s="5" t="s">
        <v>54</v>
      </c>
      <c r="B80" s="5" t="s">
        <v>54</v>
      </c>
      <c r="C80" s="5" t="s">
        <v>218</v>
      </c>
      <c r="D80" s="31" t="s">
        <v>219</v>
      </c>
      <c r="E80" s="4" t="s">
        <v>54</v>
      </c>
      <c r="F80" s="4">
        <v>1</v>
      </c>
    </row>
    <row r="81" ht="28" customHeight="1" spans="1:6">
      <c r="A81" s="5" t="s">
        <v>54</v>
      </c>
      <c r="B81" s="5" t="s">
        <v>54</v>
      </c>
      <c r="C81" s="5" t="s">
        <v>220</v>
      </c>
      <c r="D81" s="31" t="s">
        <v>221</v>
      </c>
      <c r="E81" s="4" t="s">
        <v>54</v>
      </c>
      <c r="F81" s="4">
        <v>1</v>
      </c>
    </row>
    <row r="82" ht="15.35" spans="1:6">
      <c r="A82" s="26" t="s">
        <v>222</v>
      </c>
      <c r="B82" s="12"/>
      <c r="C82" s="12"/>
      <c r="D82" s="12"/>
      <c r="E82" s="13"/>
      <c r="F82" s="26">
        <f>SUM(F63:F81)</f>
        <v>27</v>
      </c>
    </row>
    <row r="83" ht="35" customHeight="1" spans="1:6">
      <c r="A83" s="8" t="s">
        <v>223</v>
      </c>
      <c r="B83" s="28"/>
      <c r="C83" s="28"/>
      <c r="D83" s="28"/>
      <c r="E83" s="29"/>
      <c r="F83" s="8">
        <f>F43+F62+F82</f>
        <v>113.5</v>
      </c>
    </row>
  </sheetData>
  <mergeCells count="5">
    <mergeCell ref="A1:F1"/>
    <mergeCell ref="A43:E43"/>
    <mergeCell ref="A62:E62"/>
    <mergeCell ref="A82:E82"/>
    <mergeCell ref="A83:E8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9"/>
  <sheetViews>
    <sheetView topLeftCell="A32" workbookViewId="0">
      <selection activeCell="C45" sqref="C45:G45"/>
    </sheetView>
  </sheetViews>
  <sheetFormatPr defaultColWidth="9" defaultRowHeight="13.5"/>
  <cols>
    <col min="1" max="1" width="6" customWidth="1"/>
    <col min="2" max="2" width="16" customWidth="1"/>
    <col min="3" max="3" width="32" customWidth="1"/>
    <col min="4" max="4" width="14" customWidth="1"/>
    <col min="5" max="5" width="40" customWidth="1"/>
    <col min="6" max="7" width="12" customWidth="1"/>
    <col min="8" max="8" width="10" customWidth="1"/>
    <col min="9" max="9" width="9" customWidth="1"/>
    <col min="10" max="10" width="10" customWidth="1"/>
    <col min="11" max="11" width="22" customWidth="1"/>
  </cols>
  <sheetData>
    <row r="1" ht="40" customHeight="1" spans="1:11">
      <c r="A1" s="1" t="s">
        <v>224</v>
      </c>
    </row>
    <row r="2" ht="30" customHeight="1" spans="1:11">
      <c r="A2" s="2" t="s">
        <v>225</v>
      </c>
      <c r="B2" s="2" t="s">
        <v>226</v>
      </c>
      <c r="C2" s="2" t="s">
        <v>227</v>
      </c>
      <c r="D2" s="2" t="s">
        <v>228</v>
      </c>
      <c r="E2" s="2" t="s">
        <v>229</v>
      </c>
      <c r="F2" s="2" t="s">
        <v>230</v>
      </c>
      <c r="G2" s="2" t="s">
        <v>231</v>
      </c>
      <c r="H2" s="2" t="s">
        <v>232</v>
      </c>
      <c r="I2" s="2" t="s">
        <v>233</v>
      </c>
      <c r="J2" s="2" t="s">
        <v>234</v>
      </c>
      <c r="K2" s="2" t="s">
        <v>48</v>
      </c>
    </row>
    <row r="3" ht="32" customHeight="1" spans="1:11">
      <c r="A3" s="19">
        <v>1</v>
      </c>
      <c r="B3" s="19" t="s">
        <v>235</v>
      </c>
      <c r="C3" s="20" t="s">
        <v>236</v>
      </c>
      <c r="D3" s="21" t="s">
        <v>237</v>
      </c>
      <c r="E3" s="20" t="s">
        <v>238</v>
      </c>
      <c r="F3" s="19" t="s">
        <v>239</v>
      </c>
      <c r="G3" s="19" t="s">
        <v>240</v>
      </c>
      <c r="H3" s="19">
        <v>4</v>
      </c>
      <c r="I3" s="19">
        <v>8</v>
      </c>
      <c r="J3" s="19">
        <v>32</v>
      </c>
      <c r="K3" s="20" t="s">
        <v>241</v>
      </c>
    </row>
    <row r="4" ht="32" customHeight="1" spans="1:11">
      <c r="A4" s="19">
        <v>2</v>
      </c>
      <c r="B4" s="19" t="s">
        <v>235</v>
      </c>
      <c r="C4" s="20" t="s">
        <v>242</v>
      </c>
      <c r="D4" s="21" t="s">
        <v>237</v>
      </c>
      <c r="E4" s="20" t="s">
        <v>243</v>
      </c>
      <c r="F4" s="19" t="s">
        <v>244</v>
      </c>
      <c r="G4" s="19" t="s">
        <v>245</v>
      </c>
      <c r="H4" s="19">
        <v>6</v>
      </c>
      <c r="I4" s="19">
        <v>8</v>
      </c>
      <c r="J4" s="19">
        <v>48</v>
      </c>
      <c r="K4" s="20" t="s">
        <v>54</v>
      </c>
    </row>
    <row r="5" ht="32" customHeight="1" spans="1:11">
      <c r="A5" s="19">
        <v>3</v>
      </c>
      <c r="B5" s="19" t="s">
        <v>235</v>
      </c>
      <c r="C5" s="20" t="s">
        <v>246</v>
      </c>
      <c r="D5" s="22" t="s">
        <v>247</v>
      </c>
      <c r="E5" s="20" t="s">
        <v>248</v>
      </c>
      <c r="F5" s="19" t="s">
        <v>249</v>
      </c>
      <c r="G5" s="19" t="s">
        <v>250</v>
      </c>
      <c r="H5" s="19">
        <v>3</v>
      </c>
      <c r="I5" s="19">
        <v>8</v>
      </c>
      <c r="J5" s="19">
        <v>24</v>
      </c>
      <c r="K5" s="20" t="s">
        <v>54</v>
      </c>
    </row>
    <row r="6" ht="32" customHeight="1" spans="1:11">
      <c r="A6" s="19">
        <v>4</v>
      </c>
      <c r="B6" s="19" t="s">
        <v>235</v>
      </c>
      <c r="C6" s="20" t="s">
        <v>251</v>
      </c>
      <c r="D6" s="22" t="s">
        <v>247</v>
      </c>
      <c r="E6" s="20" t="s">
        <v>252</v>
      </c>
      <c r="F6" s="19" t="s">
        <v>253</v>
      </c>
      <c r="G6" s="19" t="s">
        <v>254</v>
      </c>
      <c r="H6" s="19">
        <v>7</v>
      </c>
      <c r="I6" s="19">
        <v>8</v>
      </c>
      <c r="J6" s="19">
        <v>56</v>
      </c>
      <c r="K6" s="20" t="s">
        <v>255</v>
      </c>
    </row>
    <row r="7" ht="32" customHeight="1" spans="1:11">
      <c r="A7" s="19">
        <v>5</v>
      </c>
      <c r="B7" s="19" t="s">
        <v>235</v>
      </c>
      <c r="C7" s="20" t="s">
        <v>256</v>
      </c>
      <c r="D7" s="22" t="s">
        <v>247</v>
      </c>
      <c r="E7" s="20" t="s">
        <v>257</v>
      </c>
      <c r="F7" s="19" t="s">
        <v>258</v>
      </c>
      <c r="G7" s="19" t="s">
        <v>259</v>
      </c>
      <c r="H7" s="19">
        <v>8</v>
      </c>
      <c r="I7" s="19">
        <v>8</v>
      </c>
      <c r="J7" s="19">
        <v>64</v>
      </c>
      <c r="K7" s="20" t="s">
        <v>255</v>
      </c>
    </row>
    <row r="8" ht="32" customHeight="1" spans="1:11">
      <c r="A8" s="19">
        <v>6</v>
      </c>
      <c r="B8" s="19" t="s">
        <v>235</v>
      </c>
      <c r="C8" s="20" t="s">
        <v>260</v>
      </c>
      <c r="D8" s="22" t="s">
        <v>247</v>
      </c>
      <c r="E8" s="20" t="s">
        <v>261</v>
      </c>
      <c r="F8" s="19" t="s">
        <v>262</v>
      </c>
      <c r="G8" s="19" t="s">
        <v>263</v>
      </c>
      <c r="H8" s="19">
        <v>2</v>
      </c>
      <c r="I8" s="19">
        <v>8</v>
      </c>
      <c r="J8" s="19">
        <v>16</v>
      </c>
      <c r="K8" s="20" t="s">
        <v>54</v>
      </c>
    </row>
    <row r="9" ht="32" customHeight="1" spans="1:11">
      <c r="A9" s="19">
        <v>7</v>
      </c>
      <c r="B9" s="19" t="s">
        <v>235</v>
      </c>
      <c r="C9" s="20" t="s">
        <v>264</v>
      </c>
      <c r="D9" s="21" t="s">
        <v>237</v>
      </c>
      <c r="E9" s="20" t="s">
        <v>265</v>
      </c>
      <c r="F9" s="19" t="s">
        <v>266</v>
      </c>
      <c r="G9" s="19" t="s">
        <v>267</v>
      </c>
      <c r="H9" s="19">
        <v>6</v>
      </c>
      <c r="I9" s="19">
        <v>8</v>
      </c>
      <c r="J9" s="19">
        <v>48</v>
      </c>
      <c r="K9" s="20" t="s">
        <v>54</v>
      </c>
    </row>
    <row r="10" ht="32" customHeight="1" spans="1:11">
      <c r="A10" s="19">
        <v>8</v>
      </c>
      <c r="B10" s="19" t="s">
        <v>235</v>
      </c>
      <c r="C10" s="20" t="s">
        <v>268</v>
      </c>
      <c r="D10" s="21" t="s">
        <v>237</v>
      </c>
      <c r="E10" s="20" t="s">
        <v>269</v>
      </c>
      <c r="F10" s="19" t="s">
        <v>270</v>
      </c>
      <c r="G10" s="19" t="s">
        <v>271</v>
      </c>
      <c r="H10" s="19">
        <v>7</v>
      </c>
      <c r="I10" s="19">
        <v>8</v>
      </c>
      <c r="J10" s="19">
        <v>56</v>
      </c>
      <c r="K10" s="20" t="s">
        <v>54</v>
      </c>
    </row>
    <row r="11" ht="32" customHeight="1" spans="1:11">
      <c r="A11" s="19">
        <v>9</v>
      </c>
      <c r="B11" s="19" t="s">
        <v>235</v>
      </c>
      <c r="C11" s="20" t="s">
        <v>272</v>
      </c>
      <c r="D11" s="21" t="s">
        <v>237</v>
      </c>
      <c r="E11" s="20" t="s">
        <v>273</v>
      </c>
      <c r="F11" s="19" t="s">
        <v>274</v>
      </c>
      <c r="G11" s="19" t="s">
        <v>275</v>
      </c>
      <c r="H11" s="19">
        <v>5</v>
      </c>
      <c r="I11" s="19">
        <v>8</v>
      </c>
      <c r="J11" s="19">
        <v>40</v>
      </c>
      <c r="K11" s="20" t="s">
        <v>54</v>
      </c>
    </row>
    <row r="12" ht="32" customHeight="1" spans="1:11">
      <c r="A12" s="19">
        <v>10</v>
      </c>
      <c r="B12" s="19" t="s">
        <v>235</v>
      </c>
      <c r="C12" s="20" t="s">
        <v>276</v>
      </c>
      <c r="D12" s="21" t="s">
        <v>237</v>
      </c>
      <c r="E12" s="20" t="s">
        <v>277</v>
      </c>
      <c r="F12" s="19" t="s">
        <v>278</v>
      </c>
      <c r="G12" s="19" t="s">
        <v>279</v>
      </c>
      <c r="H12" s="19">
        <v>5</v>
      </c>
      <c r="I12" s="19">
        <v>8</v>
      </c>
      <c r="J12" s="19">
        <v>40</v>
      </c>
      <c r="K12" s="20" t="s">
        <v>54</v>
      </c>
    </row>
    <row r="13" ht="32" customHeight="1" spans="1:11">
      <c r="A13" s="19">
        <v>11</v>
      </c>
      <c r="B13" s="19" t="s">
        <v>23</v>
      </c>
      <c r="C13" s="20" t="s">
        <v>280</v>
      </c>
      <c r="D13" s="22" t="s">
        <v>247</v>
      </c>
      <c r="E13" s="20" t="s">
        <v>281</v>
      </c>
      <c r="F13" s="19" t="s">
        <v>239</v>
      </c>
      <c r="G13" s="19" t="s">
        <v>282</v>
      </c>
      <c r="H13" s="19">
        <v>2</v>
      </c>
      <c r="I13" s="19">
        <v>8</v>
      </c>
      <c r="J13" s="19">
        <v>16</v>
      </c>
      <c r="K13" s="20" t="s">
        <v>54</v>
      </c>
    </row>
    <row r="14" ht="32" customHeight="1" spans="1:11">
      <c r="A14" s="19">
        <v>12</v>
      </c>
      <c r="B14" s="19" t="s">
        <v>23</v>
      </c>
      <c r="C14" s="20" t="s">
        <v>283</v>
      </c>
      <c r="D14" s="22" t="s">
        <v>247</v>
      </c>
      <c r="E14" s="20" t="s">
        <v>284</v>
      </c>
      <c r="F14" s="19" t="s">
        <v>285</v>
      </c>
      <c r="G14" s="19" t="s">
        <v>286</v>
      </c>
      <c r="H14" s="19">
        <v>5</v>
      </c>
      <c r="I14" s="19">
        <v>8</v>
      </c>
      <c r="J14" s="19">
        <v>40</v>
      </c>
      <c r="K14" s="20" t="s">
        <v>54</v>
      </c>
    </row>
    <row r="15" ht="32" customHeight="1" spans="1:11">
      <c r="A15" s="19">
        <v>13</v>
      </c>
      <c r="B15" s="19" t="s">
        <v>23</v>
      </c>
      <c r="C15" s="20" t="s">
        <v>287</v>
      </c>
      <c r="D15" s="22" t="s">
        <v>247</v>
      </c>
      <c r="E15" s="20" t="s">
        <v>288</v>
      </c>
      <c r="F15" s="19" t="s">
        <v>289</v>
      </c>
      <c r="G15" s="19" t="s">
        <v>290</v>
      </c>
      <c r="H15" s="19">
        <v>5</v>
      </c>
      <c r="I15" s="19">
        <v>8</v>
      </c>
      <c r="J15" s="19">
        <v>40</v>
      </c>
      <c r="K15" s="20" t="s">
        <v>54</v>
      </c>
    </row>
    <row r="16" ht="32" customHeight="1" spans="1:11">
      <c r="A16" s="19">
        <v>14</v>
      </c>
      <c r="B16" s="19" t="s">
        <v>23</v>
      </c>
      <c r="C16" s="20" t="s">
        <v>291</v>
      </c>
      <c r="D16" s="22" t="s">
        <v>247</v>
      </c>
      <c r="E16" s="20" t="s">
        <v>292</v>
      </c>
      <c r="F16" s="19" t="s">
        <v>250</v>
      </c>
      <c r="G16" s="19" t="s">
        <v>293</v>
      </c>
      <c r="H16" s="19">
        <v>6</v>
      </c>
      <c r="I16" s="19">
        <v>8</v>
      </c>
      <c r="J16" s="19">
        <v>48</v>
      </c>
      <c r="K16" s="20" t="s">
        <v>54</v>
      </c>
    </row>
    <row r="17" ht="32" customHeight="1" spans="1:11">
      <c r="A17" s="19">
        <v>15</v>
      </c>
      <c r="B17" s="19" t="s">
        <v>23</v>
      </c>
      <c r="C17" s="20" t="s">
        <v>294</v>
      </c>
      <c r="D17" s="22" t="s">
        <v>247</v>
      </c>
      <c r="E17" s="20" t="s">
        <v>295</v>
      </c>
      <c r="F17" s="19" t="s">
        <v>296</v>
      </c>
      <c r="G17" s="19" t="s">
        <v>258</v>
      </c>
      <c r="H17" s="19">
        <v>3</v>
      </c>
      <c r="I17" s="19">
        <v>8</v>
      </c>
      <c r="J17" s="19">
        <v>24</v>
      </c>
      <c r="K17" s="20" t="s">
        <v>54</v>
      </c>
    </row>
    <row r="18" ht="32" customHeight="1" spans="1:11">
      <c r="A18" s="19">
        <v>16</v>
      </c>
      <c r="B18" s="19" t="s">
        <v>23</v>
      </c>
      <c r="C18" s="20" t="s">
        <v>297</v>
      </c>
      <c r="D18" s="22" t="s">
        <v>247</v>
      </c>
      <c r="E18" s="20" t="s">
        <v>298</v>
      </c>
      <c r="F18" s="19" t="s">
        <v>299</v>
      </c>
      <c r="G18" s="19" t="s">
        <v>300</v>
      </c>
      <c r="H18" s="19">
        <v>4</v>
      </c>
      <c r="I18" s="19">
        <v>8</v>
      </c>
      <c r="J18" s="19">
        <v>32</v>
      </c>
      <c r="K18" s="20" t="s">
        <v>54</v>
      </c>
    </row>
    <row r="19" ht="32" customHeight="1" spans="1:11">
      <c r="A19" s="19">
        <v>17</v>
      </c>
      <c r="B19" s="19" t="s">
        <v>23</v>
      </c>
      <c r="C19" s="20" t="s">
        <v>301</v>
      </c>
      <c r="D19" s="22" t="s">
        <v>247</v>
      </c>
      <c r="E19" s="20" t="s">
        <v>302</v>
      </c>
      <c r="F19" s="19" t="s">
        <v>303</v>
      </c>
      <c r="G19" s="19" t="s">
        <v>262</v>
      </c>
      <c r="H19" s="19">
        <v>4</v>
      </c>
      <c r="I19" s="19">
        <v>8</v>
      </c>
      <c r="J19" s="19">
        <v>32</v>
      </c>
      <c r="K19" s="20" t="s">
        <v>54</v>
      </c>
    </row>
    <row r="20" ht="32" customHeight="1" spans="1:11">
      <c r="A20" s="19">
        <v>18</v>
      </c>
      <c r="B20" s="19" t="s">
        <v>23</v>
      </c>
      <c r="C20" s="20" t="s">
        <v>304</v>
      </c>
      <c r="D20" s="23" t="s">
        <v>305</v>
      </c>
      <c r="E20" s="20" t="s">
        <v>306</v>
      </c>
      <c r="F20" s="19" t="s">
        <v>263</v>
      </c>
      <c r="G20" s="19" t="s">
        <v>307</v>
      </c>
      <c r="H20" s="19">
        <v>10</v>
      </c>
      <c r="I20" s="19">
        <v>8</v>
      </c>
      <c r="J20" s="19">
        <v>80</v>
      </c>
      <c r="K20" s="20" t="s">
        <v>308</v>
      </c>
    </row>
    <row r="21" ht="32" customHeight="1" spans="1:11">
      <c r="A21" s="19">
        <v>19</v>
      </c>
      <c r="B21" s="19" t="s">
        <v>23</v>
      </c>
      <c r="C21" s="20" t="s">
        <v>309</v>
      </c>
      <c r="D21" s="24" t="s">
        <v>310</v>
      </c>
      <c r="E21" s="20" t="s">
        <v>311</v>
      </c>
      <c r="F21" s="19" t="s">
        <v>312</v>
      </c>
      <c r="G21" s="19" t="s">
        <v>313</v>
      </c>
      <c r="H21" s="19">
        <v>2</v>
      </c>
      <c r="I21" s="19">
        <v>8</v>
      </c>
      <c r="J21" s="19">
        <v>16</v>
      </c>
      <c r="K21" s="20" t="s">
        <v>314</v>
      </c>
    </row>
    <row r="22" ht="32" customHeight="1" spans="1:11">
      <c r="A22" s="19">
        <v>20</v>
      </c>
      <c r="B22" s="19" t="s">
        <v>23</v>
      </c>
      <c r="C22" s="20" t="s">
        <v>315</v>
      </c>
      <c r="D22" s="21" t="s">
        <v>237</v>
      </c>
      <c r="E22" s="20" t="s">
        <v>316</v>
      </c>
      <c r="F22" s="19" t="s">
        <v>317</v>
      </c>
      <c r="G22" s="19" t="s">
        <v>271</v>
      </c>
      <c r="H22" s="19">
        <v>3</v>
      </c>
      <c r="I22" s="19">
        <v>8</v>
      </c>
      <c r="J22" s="19">
        <v>24</v>
      </c>
      <c r="K22" s="20" t="s">
        <v>54</v>
      </c>
    </row>
    <row r="23" ht="32" customHeight="1" spans="1:11">
      <c r="A23" s="19">
        <v>21</v>
      </c>
      <c r="B23" s="19" t="s">
        <v>23</v>
      </c>
      <c r="C23" s="20" t="s">
        <v>318</v>
      </c>
      <c r="D23" s="21" t="s">
        <v>237</v>
      </c>
      <c r="E23" s="20" t="s">
        <v>319</v>
      </c>
      <c r="F23" s="19" t="s">
        <v>274</v>
      </c>
      <c r="G23" s="19" t="s">
        <v>275</v>
      </c>
      <c r="H23" s="19">
        <v>5</v>
      </c>
      <c r="I23" s="19">
        <v>8</v>
      </c>
      <c r="J23" s="19">
        <v>40</v>
      </c>
      <c r="K23" s="20" t="s">
        <v>54</v>
      </c>
    </row>
    <row r="24" ht="32" customHeight="1" spans="1:11">
      <c r="A24" s="19">
        <v>22</v>
      </c>
      <c r="B24" s="19" t="s">
        <v>23</v>
      </c>
      <c r="C24" s="20" t="s">
        <v>320</v>
      </c>
      <c r="D24" s="21" t="s">
        <v>237</v>
      </c>
      <c r="E24" s="20" t="s">
        <v>321</v>
      </c>
      <c r="F24" s="19" t="s">
        <v>278</v>
      </c>
      <c r="G24" s="19" t="s">
        <v>279</v>
      </c>
      <c r="H24" s="19">
        <v>5</v>
      </c>
      <c r="I24" s="19">
        <v>8</v>
      </c>
      <c r="J24" s="19">
        <v>40</v>
      </c>
      <c r="K24" s="20" t="s">
        <v>54</v>
      </c>
    </row>
    <row r="25" ht="32" customHeight="1" spans="1:11">
      <c r="A25" s="19">
        <v>23</v>
      </c>
      <c r="B25" s="19" t="s">
        <v>26</v>
      </c>
      <c r="C25" s="20" t="s">
        <v>322</v>
      </c>
      <c r="D25" s="22" t="s">
        <v>247</v>
      </c>
      <c r="E25" s="20" t="s">
        <v>323</v>
      </c>
      <c r="F25" s="19" t="s">
        <v>239</v>
      </c>
      <c r="G25" s="19" t="s">
        <v>285</v>
      </c>
      <c r="H25" s="19">
        <v>3</v>
      </c>
      <c r="I25" s="19">
        <v>8</v>
      </c>
      <c r="J25" s="19">
        <v>24</v>
      </c>
      <c r="K25" s="20" t="s">
        <v>54</v>
      </c>
    </row>
    <row r="26" ht="32" customHeight="1" spans="1:11">
      <c r="A26" s="19">
        <v>24</v>
      </c>
      <c r="B26" s="19" t="s">
        <v>26</v>
      </c>
      <c r="C26" s="20" t="s">
        <v>324</v>
      </c>
      <c r="D26" s="22" t="s">
        <v>247</v>
      </c>
      <c r="E26" s="20" t="s">
        <v>325</v>
      </c>
      <c r="F26" s="19" t="s">
        <v>240</v>
      </c>
      <c r="G26" s="19" t="s">
        <v>326</v>
      </c>
      <c r="H26" s="19">
        <v>3</v>
      </c>
      <c r="I26" s="19">
        <v>8</v>
      </c>
      <c r="J26" s="19">
        <v>24</v>
      </c>
      <c r="K26" s="20" t="s">
        <v>54</v>
      </c>
    </row>
    <row r="27" ht="32" customHeight="1" spans="1:11">
      <c r="A27" s="19">
        <v>25</v>
      </c>
      <c r="B27" s="19" t="s">
        <v>26</v>
      </c>
      <c r="C27" s="20" t="s">
        <v>327</v>
      </c>
      <c r="D27" s="22" t="s">
        <v>247</v>
      </c>
      <c r="E27" s="20" t="s">
        <v>328</v>
      </c>
      <c r="F27" s="19" t="s">
        <v>286</v>
      </c>
      <c r="G27" s="19" t="s">
        <v>329</v>
      </c>
      <c r="H27" s="19">
        <v>3</v>
      </c>
      <c r="I27" s="19">
        <v>8</v>
      </c>
      <c r="J27" s="19">
        <v>24</v>
      </c>
      <c r="K27" s="20" t="s">
        <v>54</v>
      </c>
    </row>
    <row r="28" ht="32" customHeight="1" spans="1:11">
      <c r="A28" s="19">
        <v>26</v>
      </c>
      <c r="B28" s="19" t="s">
        <v>26</v>
      </c>
      <c r="C28" s="20" t="s">
        <v>330</v>
      </c>
      <c r="D28" s="22" t="s">
        <v>247</v>
      </c>
      <c r="E28" s="20" t="s">
        <v>331</v>
      </c>
      <c r="F28" s="19" t="s">
        <v>245</v>
      </c>
      <c r="G28" s="19" t="s">
        <v>290</v>
      </c>
      <c r="H28" s="19">
        <v>3</v>
      </c>
      <c r="I28" s="19">
        <v>8</v>
      </c>
      <c r="J28" s="19">
        <v>24</v>
      </c>
      <c r="K28" s="20" t="s">
        <v>54</v>
      </c>
    </row>
    <row r="29" ht="32" customHeight="1" spans="1:11">
      <c r="A29" s="19">
        <v>27</v>
      </c>
      <c r="B29" s="19" t="s">
        <v>26</v>
      </c>
      <c r="C29" s="20" t="s">
        <v>332</v>
      </c>
      <c r="D29" s="22" t="s">
        <v>247</v>
      </c>
      <c r="E29" s="20" t="s">
        <v>333</v>
      </c>
      <c r="F29" s="19" t="s">
        <v>250</v>
      </c>
      <c r="G29" s="19" t="s">
        <v>334</v>
      </c>
      <c r="H29" s="19">
        <v>3</v>
      </c>
      <c r="I29" s="19">
        <v>8</v>
      </c>
      <c r="J29" s="19">
        <v>24</v>
      </c>
      <c r="K29" s="20" t="s">
        <v>54</v>
      </c>
    </row>
    <row r="30" ht="32" customHeight="1" spans="1:11">
      <c r="A30" s="19">
        <v>28</v>
      </c>
      <c r="B30" s="19" t="s">
        <v>26</v>
      </c>
      <c r="C30" s="20" t="s">
        <v>335</v>
      </c>
      <c r="D30" s="22" t="s">
        <v>247</v>
      </c>
      <c r="E30" s="20" t="s">
        <v>336</v>
      </c>
      <c r="F30" s="19" t="s">
        <v>337</v>
      </c>
      <c r="G30" s="19" t="s">
        <v>293</v>
      </c>
      <c r="H30" s="19">
        <v>3</v>
      </c>
      <c r="I30" s="19">
        <v>8</v>
      </c>
      <c r="J30" s="19">
        <v>24</v>
      </c>
      <c r="K30" s="20" t="s">
        <v>54</v>
      </c>
    </row>
    <row r="31" ht="32" customHeight="1" spans="1:11">
      <c r="A31" s="19">
        <v>29</v>
      </c>
      <c r="B31" s="19" t="s">
        <v>26</v>
      </c>
      <c r="C31" s="20" t="s">
        <v>338</v>
      </c>
      <c r="D31" s="22" t="s">
        <v>247</v>
      </c>
      <c r="E31" s="20" t="s">
        <v>339</v>
      </c>
      <c r="F31" s="19" t="s">
        <v>296</v>
      </c>
      <c r="G31" s="19" t="s">
        <v>299</v>
      </c>
      <c r="H31" s="19">
        <v>4</v>
      </c>
      <c r="I31" s="19">
        <v>8</v>
      </c>
      <c r="J31" s="19">
        <v>32</v>
      </c>
      <c r="K31" s="20" t="s">
        <v>54</v>
      </c>
    </row>
    <row r="32" ht="32" customHeight="1" spans="1:11">
      <c r="A32" s="19">
        <v>30</v>
      </c>
      <c r="B32" s="19" t="s">
        <v>26</v>
      </c>
      <c r="C32" s="20" t="s">
        <v>340</v>
      </c>
      <c r="D32" s="22" t="s">
        <v>247</v>
      </c>
      <c r="E32" s="20" t="s">
        <v>341</v>
      </c>
      <c r="F32" s="19" t="s">
        <v>342</v>
      </c>
      <c r="G32" s="19" t="s">
        <v>300</v>
      </c>
      <c r="H32" s="19">
        <v>3</v>
      </c>
      <c r="I32" s="19">
        <v>8</v>
      </c>
      <c r="J32" s="19">
        <v>24</v>
      </c>
      <c r="K32" s="20" t="s">
        <v>54</v>
      </c>
    </row>
    <row r="33" ht="32" customHeight="1" spans="1:11">
      <c r="A33" s="19">
        <v>31</v>
      </c>
      <c r="B33" s="19" t="s">
        <v>26</v>
      </c>
      <c r="C33" s="20" t="s">
        <v>343</v>
      </c>
      <c r="D33" s="22" t="s">
        <v>247</v>
      </c>
      <c r="E33" s="20" t="s">
        <v>344</v>
      </c>
      <c r="F33" s="19" t="s">
        <v>303</v>
      </c>
      <c r="G33" s="19" t="s">
        <v>262</v>
      </c>
      <c r="H33" s="19">
        <v>4</v>
      </c>
      <c r="I33" s="19">
        <v>8</v>
      </c>
      <c r="J33" s="19">
        <v>32</v>
      </c>
      <c r="K33" s="20" t="s">
        <v>54</v>
      </c>
    </row>
    <row r="34" ht="32" customHeight="1" spans="1:11">
      <c r="A34" s="19">
        <v>32</v>
      </c>
      <c r="B34" s="19" t="s">
        <v>26</v>
      </c>
      <c r="C34" s="20" t="s">
        <v>345</v>
      </c>
      <c r="D34" s="22" t="s">
        <v>247</v>
      </c>
      <c r="E34" s="20" t="s">
        <v>346</v>
      </c>
      <c r="F34" s="19" t="s">
        <v>263</v>
      </c>
      <c r="G34" s="19" t="s">
        <v>347</v>
      </c>
      <c r="H34" s="19">
        <v>3</v>
      </c>
      <c r="I34" s="19">
        <v>8</v>
      </c>
      <c r="J34" s="19">
        <v>24</v>
      </c>
      <c r="K34" s="20" t="s">
        <v>54</v>
      </c>
    </row>
    <row r="35" ht="32" customHeight="1" spans="1:11">
      <c r="A35" s="19">
        <v>33</v>
      </c>
      <c r="B35" s="19" t="s">
        <v>26</v>
      </c>
      <c r="C35" s="20" t="s">
        <v>348</v>
      </c>
      <c r="D35" s="22" t="s">
        <v>247</v>
      </c>
      <c r="E35" s="20" t="s">
        <v>349</v>
      </c>
      <c r="F35" s="19" t="s">
        <v>350</v>
      </c>
      <c r="G35" s="19" t="s">
        <v>307</v>
      </c>
      <c r="H35" s="19">
        <v>7</v>
      </c>
      <c r="I35" s="19">
        <v>8</v>
      </c>
      <c r="J35" s="19">
        <v>56</v>
      </c>
      <c r="K35" s="20" t="s">
        <v>308</v>
      </c>
    </row>
    <row r="36" ht="32" customHeight="1" spans="1:11">
      <c r="A36" s="19">
        <v>34</v>
      </c>
      <c r="B36" s="19" t="s">
        <v>26</v>
      </c>
      <c r="C36" s="20" t="s">
        <v>351</v>
      </c>
      <c r="D36" s="22" t="s">
        <v>247</v>
      </c>
      <c r="E36" s="20" t="s">
        <v>352</v>
      </c>
      <c r="F36" s="19" t="s">
        <v>312</v>
      </c>
      <c r="G36" s="19" t="s">
        <v>317</v>
      </c>
      <c r="H36" s="19">
        <v>3</v>
      </c>
      <c r="I36" s="19">
        <v>8</v>
      </c>
      <c r="J36" s="19">
        <v>24</v>
      </c>
      <c r="K36" s="20" t="s">
        <v>54</v>
      </c>
    </row>
    <row r="37" ht="32" customHeight="1" spans="1:11">
      <c r="A37" s="19">
        <v>35</v>
      </c>
      <c r="B37" s="19" t="s">
        <v>26</v>
      </c>
      <c r="C37" s="20" t="s">
        <v>353</v>
      </c>
      <c r="D37" s="21" t="s">
        <v>237</v>
      </c>
      <c r="E37" s="20" t="s">
        <v>354</v>
      </c>
      <c r="F37" s="19" t="s">
        <v>355</v>
      </c>
      <c r="G37" s="19" t="s">
        <v>356</v>
      </c>
      <c r="H37" s="19">
        <v>10</v>
      </c>
      <c r="I37" s="19">
        <v>8</v>
      </c>
      <c r="J37" s="19">
        <v>80</v>
      </c>
      <c r="K37" s="20" t="s">
        <v>54</v>
      </c>
    </row>
    <row r="38" ht="32" customHeight="1" spans="1:11">
      <c r="A38" s="19">
        <v>36</v>
      </c>
      <c r="B38" s="19" t="s">
        <v>26</v>
      </c>
      <c r="C38" s="20" t="s">
        <v>357</v>
      </c>
      <c r="D38" s="21" t="s">
        <v>237</v>
      </c>
      <c r="E38" s="20" t="s">
        <v>358</v>
      </c>
      <c r="F38" s="19" t="s">
        <v>359</v>
      </c>
      <c r="G38" s="19" t="s">
        <v>279</v>
      </c>
      <c r="H38" s="19">
        <v>2</v>
      </c>
      <c r="I38" s="19">
        <v>8</v>
      </c>
      <c r="J38" s="19">
        <v>16</v>
      </c>
      <c r="K38" s="20" t="s">
        <v>54</v>
      </c>
    </row>
    <row r="39" ht="32" customHeight="1" spans="1:11">
      <c r="A39" s="19">
        <v>37</v>
      </c>
      <c r="B39" s="19" t="s">
        <v>29</v>
      </c>
      <c r="C39" s="20" t="s">
        <v>360</v>
      </c>
      <c r="D39" s="21" t="s">
        <v>237</v>
      </c>
      <c r="E39" s="20" t="s">
        <v>361</v>
      </c>
      <c r="F39" s="19" t="s">
        <v>239</v>
      </c>
      <c r="G39" s="19" t="s">
        <v>285</v>
      </c>
      <c r="H39" s="19">
        <v>3</v>
      </c>
      <c r="I39" s="19">
        <v>8</v>
      </c>
      <c r="J39" s="19">
        <v>24</v>
      </c>
      <c r="K39" s="20" t="s">
        <v>54</v>
      </c>
    </row>
    <row r="40" ht="32" customHeight="1" spans="1:11">
      <c r="A40" s="19">
        <v>38</v>
      </c>
      <c r="B40" s="19" t="s">
        <v>29</v>
      </c>
      <c r="C40" s="20" t="s">
        <v>362</v>
      </c>
      <c r="D40" s="22" t="s">
        <v>247</v>
      </c>
      <c r="E40" s="20" t="s">
        <v>363</v>
      </c>
      <c r="F40" s="19" t="s">
        <v>240</v>
      </c>
      <c r="G40" s="19" t="s">
        <v>293</v>
      </c>
      <c r="H40" s="19">
        <v>15</v>
      </c>
      <c r="I40" s="19">
        <v>8</v>
      </c>
      <c r="J40" s="19">
        <v>120</v>
      </c>
      <c r="K40" s="20" t="s">
        <v>54</v>
      </c>
    </row>
    <row r="41" ht="32" customHeight="1" spans="1:11">
      <c r="A41" s="19">
        <v>39</v>
      </c>
      <c r="B41" s="19" t="s">
        <v>29</v>
      </c>
      <c r="C41" s="20" t="s">
        <v>364</v>
      </c>
      <c r="D41" s="23" t="s">
        <v>305</v>
      </c>
      <c r="E41" s="20" t="s">
        <v>365</v>
      </c>
      <c r="F41" s="19" t="s">
        <v>296</v>
      </c>
      <c r="G41" s="19" t="s">
        <v>303</v>
      </c>
      <c r="H41" s="19">
        <v>8</v>
      </c>
      <c r="I41" s="19">
        <v>8</v>
      </c>
      <c r="J41" s="19">
        <v>64</v>
      </c>
      <c r="K41" s="20" t="s">
        <v>54</v>
      </c>
    </row>
    <row r="42" ht="32" customHeight="1" spans="1:11">
      <c r="A42" s="19">
        <v>40</v>
      </c>
      <c r="B42" s="19" t="s">
        <v>29</v>
      </c>
      <c r="C42" s="20" t="s">
        <v>366</v>
      </c>
      <c r="D42" s="24" t="s">
        <v>310</v>
      </c>
      <c r="E42" s="20" t="s">
        <v>367</v>
      </c>
      <c r="F42" s="19" t="s">
        <v>368</v>
      </c>
      <c r="G42" s="19" t="s">
        <v>262</v>
      </c>
      <c r="H42" s="19">
        <v>3</v>
      </c>
      <c r="I42" s="19">
        <v>8</v>
      </c>
      <c r="J42" s="19">
        <v>24</v>
      </c>
      <c r="K42" s="20" t="s">
        <v>369</v>
      </c>
    </row>
    <row r="43" ht="32" customHeight="1" spans="1:11">
      <c r="A43" s="19">
        <v>41</v>
      </c>
      <c r="B43" s="19" t="s">
        <v>29</v>
      </c>
      <c r="C43" s="20" t="s">
        <v>370</v>
      </c>
      <c r="D43" s="21" t="s">
        <v>237</v>
      </c>
      <c r="E43" s="20" t="s">
        <v>371</v>
      </c>
      <c r="F43" s="19" t="s">
        <v>263</v>
      </c>
      <c r="G43" s="19" t="s">
        <v>347</v>
      </c>
      <c r="H43" s="19">
        <v>3</v>
      </c>
      <c r="I43" s="19">
        <v>8</v>
      </c>
      <c r="J43" s="19">
        <v>24</v>
      </c>
      <c r="K43" s="20" t="s">
        <v>54</v>
      </c>
    </row>
    <row r="44" ht="32" customHeight="1" spans="1:11">
      <c r="A44" s="19">
        <v>42</v>
      </c>
      <c r="B44" s="19" t="s">
        <v>29</v>
      </c>
      <c r="C44" s="20" t="s">
        <v>372</v>
      </c>
      <c r="D44" s="21" t="s">
        <v>237</v>
      </c>
      <c r="E44" s="20" t="s">
        <v>373</v>
      </c>
      <c r="F44" s="19" t="s">
        <v>350</v>
      </c>
      <c r="G44" s="19" t="s">
        <v>374</v>
      </c>
      <c r="H44" s="19">
        <v>3</v>
      </c>
      <c r="I44" s="19">
        <v>8</v>
      </c>
      <c r="J44" s="19">
        <v>24</v>
      </c>
      <c r="K44" s="20" t="s">
        <v>375</v>
      </c>
    </row>
    <row r="45" ht="14.6" spans="1:11">
      <c r="A45" s="25"/>
      <c r="B45" s="13"/>
      <c r="C45" s="25"/>
      <c r="D45" s="12"/>
      <c r="E45" s="12"/>
      <c r="F45" s="12"/>
      <c r="G45" s="13"/>
      <c r="H45" s="26">
        <f>SUMIF(B3:B44,"开发经理",H3:H44)</f>
        <v>53</v>
      </c>
      <c r="I45" s="25"/>
      <c r="J45" s="26">
        <f>SUMIF(B3:B44,"开发经理",J3:J44)</f>
        <v>424</v>
      </c>
      <c r="K45" s="25"/>
    </row>
    <row r="46" ht="14.6" spans="1:11">
      <c r="A46" s="25"/>
      <c r="B46" s="13"/>
      <c r="C46" s="25"/>
      <c r="D46" s="12"/>
      <c r="E46" s="12"/>
      <c r="F46" s="12"/>
      <c r="G46" s="13"/>
      <c r="H46" s="26">
        <f>SUMIF(B3:B45,"功能开发程序员",H3:H45)</f>
        <v>54</v>
      </c>
      <c r="I46" s="25"/>
      <c r="J46" s="26">
        <f>SUMIF(B3:B45,"功能开发程序员",J3:J45)</f>
        <v>432</v>
      </c>
      <c r="K46" s="25"/>
    </row>
    <row r="47" ht="14.6" spans="1:11">
      <c r="A47" s="25"/>
      <c r="B47" s="13"/>
      <c r="C47" s="25"/>
      <c r="D47" s="12"/>
      <c r="E47" s="12"/>
      <c r="F47" s="12"/>
      <c r="G47" s="13"/>
      <c r="H47" s="26">
        <f>SUMIF(B3:B46,"模型算法师",H3:H46)</f>
        <v>54</v>
      </c>
      <c r="I47" s="25"/>
      <c r="J47" s="26">
        <f>SUMIF(B3:B46,"模型算法师",J3:J46)</f>
        <v>432</v>
      </c>
      <c r="K47" s="25"/>
    </row>
    <row r="48" ht="15.35" spans="1:11">
      <c r="A48" s="25"/>
      <c r="B48" s="13"/>
      <c r="C48" s="25"/>
      <c r="D48" s="12"/>
      <c r="E48" s="12"/>
      <c r="F48" s="12"/>
      <c r="G48" s="13"/>
      <c r="H48" s="26">
        <f>SUMIF(B3:B47,"美工",H3:H47)</f>
        <v>35</v>
      </c>
      <c r="I48" s="25"/>
      <c r="J48" s="26">
        <f>SUMIF(B3:B47,"美工",J3:J47)</f>
        <v>280</v>
      </c>
      <c r="K48" s="25"/>
    </row>
    <row r="49" ht="35" customHeight="1" spans="1:11">
      <c r="A49" s="27"/>
      <c r="B49" s="28"/>
      <c r="C49" s="28"/>
      <c r="D49" s="28"/>
      <c r="E49" s="28"/>
      <c r="F49" s="28"/>
      <c r="G49" s="29"/>
      <c r="H49" s="8">
        <f>SUM(H3:H44)</f>
        <v>196</v>
      </c>
      <c r="I49" s="27"/>
      <c r="J49" s="8">
        <f>SUM(J3:J44)</f>
        <v>1568</v>
      </c>
      <c r="K49" s="27"/>
    </row>
  </sheetData>
  <mergeCells count="10">
    <mergeCell ref="A1:K1"/>
    <mergeCell ref="A45:B45"/>
    <mergeCell ref="C45:G45"/>
    <mergeCell ref="A46:B46"/>
    <mergeCell ref="C46:G46"/>
    <mergeCell ref="A47:B47"/>
    <mergeCell ref="C47:G47"/>
    <mergeCell ref="A48:B48"/>
    <mergeCell ref="C48:G48"/>
    <mergeCell ref="A49:G4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tabSelected="1" workbookViewId="0">
      <selection activeCell="B4" sqref="B4"/>
    </sheetView>
  </sheetViews>
  <sheetFormatPr defaultColWidth="9" defaultRowHeight="13.5" outlineLevelCol="6"/>
  <cols>
    <col min="1" max="1" width="20" customWidth="1"/>
    <col min="2" max="4" width="12" customWidth="1"/>
    <col min="5" max="7" width="14" customWidth="1"/>
  </cols>
  <sheetData>
    <row r="1" ht="40" customHeight="1" spans="1:7">
      <c r="A1" s="1" t="s">
        <v>376</v>
      </c>
    </row>
    <row r="2" ht="35" customHeight="1" spans="1:7">
      <c r="A2" s="2" t="s">
        <v>226</v>
      </c>
      <c r="B2" s="2" t="s">
        <v>377</v>
      </c>
      <c r="C2" s="2" t="s">
        <v>378</v>
      </c>
      <c r="D2" s="2" t="s">
        <v>379</v>
      </c>
      <c r="E2" s="2" t="s">
        <v>380</v>
      </c>
      <c r="F2" s="2" t="s">
        <v>234</v>
      </c>
      <c r="G2" s="2" t="s">
        <v>381</v>
      </c>
    </row>
    <row r="3" ht="30" customHeight="1" spans="1:7">
      <c r="A3" s="4" t="s">
        <v>235</v>
      </c>
      <c r="B3" s="4">
        <f>SUMIFS(工作量评估明细!J:J,工作量评估明细!B:B,"开发经理(y)",工作量评估明细!D:D,"后台管理系统")</f>
        <v>0</v>
      </c>
      <c r="C3" s="4">
        <f>SUMIFS(工作量评估明细!J:J,工作量评估明细!B:B,"开发经理(y)",工作量评估明细!D:D,"移动端")</f>
        <v>0</v>
      </c>
      <c r="D3" s="4">
        <f>SUMIFS(工作量评估明细!J:J,工作量评估明细!B:B,"开发经理(y)",工作量评估明细!D:D,"数据大屏")</f>
        <v>0</v>
      </c>
      <c r="E3" s="4">
        <f>SUMIFS(工作量评估明细!J:J,工作量评估明细!B:B,"开发经理(y)",工作量评估明细!D:D,"公共/通用")</f>
        <v>0</v>
      </c>
      <c r="F3" s="4">
        <f>SUMIF(工作量评估明细!B:B,"开发经理(y)",工作量评估明细!J:J)</f>
        <v>0</v>
      </c>
      <c r="G3" s="14">
        <f>F3/432</f>
        <v>0</v>
      </c>
    </row>
    <row r="4" ht="30" customHeight="1" spans="1:7">
      <c r="A4" s="4" t="s">
        <v>23</v>
      </c>
      <c r="B4" s="4">
        <f>SUMIFS(工作量评估明细!J:J,工作量评估明细!B:B,"功能开发程序员",工作量评估明细!D:D,"后台管理系统")</f>
        <v>232</v>
      </c>
      <c r="C4" s="4">
        <f>SUMIFS(工作量评估明细!J:J,工作量评估明细!B:B,"功能开发程序员",工作量评估明细!D:D,"移动端")</f>
        <v>80</v>
      </c>
      <c r="D4" s="4">
        <f>SUMIFS(工作量评估明细!J:J,工作量评估明细!B:B,"功能开发程序员",工作量评估明细!D:D,"数据大屏")</f>
        <v>16</v>
      </c>
      <c r="E4" s="4">
        <f>SUMIFS(工作量评估明细!J:J,工作量评估明细!B:B,"功能开发程序员",工作量评估明细!D:D,"公共/通用")</f>
        <v>104</v>
      </c>
      <c r="F4" s="4">
        <f>SUMIF(工作量评估明细!B:B,"功能开发程序员",工作量评估明细!J:J)</f>
        <v>432</v>
      </c>
      <c r="G4" s="14">
        <f>F4/432</f>
        <v>1</v>
      </c>
    </row>
    <row r="5" ht="30" customHeight="1" spans="1:7">
      <c r="A5" s="4" t="s">
        <v>26</v>
      </c>
      <c r="B5" s="4">
        <f>SUMIFS(工作量评估明细!J:J,工作量评估明细!B:B,"模型算法师",工作量评估明细!D:D,"后台管理系统")</f>
        <v>336</v>
      </c>
      <c r="C5" s="4">
        <f>SUMIFS(工作量评估明细!J:J,工作量评估明细!B:B,"模型算法师",工作量评估明细!D:D,"移动端")</f>
        <v>0</v>
      </c>
      <c r="D5" s="4">
        <f>SUMIFS(工作量评估明细!J:J,工作量评估明细!B:B,"模型算法师",工作量评估明细!D:D,"数据大屏")</f>
        <v>0</v>
      </c>
      <c r="E5" s="4">
        <f>SUMIFS(工作量评估明细!J:J,工作量评估明细!B:B,"模型算法师",工作量评估明细!D:D,"公共/通用")</f>
        <v>96</v>
      </c>
      <c r="F5" s="4">
        <f>SUMIF(工作量评估明细!B:B,"模型算法师",工作量评估明细!J:J)</f>
        <v>432</v>
      </c>
      <c r="G5" s="14">
        <f>F5/432</f>
        <v>1</v>
      </c>
    </row>
    <row r="6" ht="30" customHeight="1" spans="1:7">
      <c r="A6" s="4" t="s">
        <v>29</v>
      </c>
      <c r="B6" s="4">
        <f>SUMIFS(工作量评估明细!J:J,工作量评估明细!B:B,"美工",工作量评估明细!D:D,"后台管理系统")</f>
        <v>120</v>
      </c>
      <c r="C6" s="4">
        <f>SUMIFS(工作量评估明细!J:J,工作量评估明细!B:B,"美工",工作量评估明细!D:D,"移动端")</f>
        <v>64</v>
      </c>
      <c r="D6" s="4">
        <f>SUMIFS(工作量评估明细!J:J,工作量评估明细!B:B,"美工",工作量评估明细!D:D,"数据大屏")</f>
        <v>24</v>
      </c>
      <c r="E6" s="4">
        <f>SUMIFS(工作量评估明细!J:J,工作量评估明细!B:B,"美工",工作量评估明细!D:D,"公共/通用")</f>
        <v>72</v>
      </c>
      <c r="F6" s="4">
        <f>SUMIF(工作量评估明细!B:B,"美工",工作量评估明细!J:J)</f>
        <v>280</v>
      </c>
      <c r="G6" s="14">
        <f>F6/432</f>
        <v>0.648148148148148</v>
      </c>
    </row>
    <row r="7" ht="35" customHeight="1" spans="1:7">
      <c r="A7" s="15" t="s">
        <v>32</v>
      </c>
      <c r="B7" s="15">
        <f>SUM(B3:B6)</f>
        <v>688</v>
      </c>
      <c r="C7" s="15">
        <f>SUM(C3:C6)</f>
        <v>144</v>
      </c>
      <c r="D7" s="15">
        <f>SUM(D3:D6)</f>
        <v>40</v>
      </c>
      <c r="E7" s="15">
        <f>SUM(E3:E6)</f>
        <v>272</v>
      </c>
      <c r="F7" s="15">
        <f>SUM(F3:F6)</f>
        <v>1144</v>
      </c>
      <c r="G7" s="16">
        <f>F7/432/4</f>
        <v>0.662037037037037</v>
      </c>
    </row>
    <row r="9" ht="22" customHeight="1" spans="1:7">
      <c r="A9" s="17" t="s">
        <v>382</v>
      </c>
    </row>
    <row r="10" ht="22" customHeight="1" spans="1:7">
      <c r="A10" s="18" t="s">
        <v>383</v>
      </c>
    </row>
    <row r="11" ht="22" customHeight="1" spans="1:7">
      <c r="A11" s="18" t="s">
        <v>384</v>
      </c>
    </row>
    <row r="12" ht="22" customHeight="1" spans="1:7">
      <c r="A12" s="18" t="s">
        <v>385</v>
      </c>
    </row>
    <row r="13" ht="22" customHeight="1" spans="1:7">
      <c r="A13" s="18" t="s">
        <v>386</v>
      </c>
    </row>
  </sheetData>
  <mergeCells count="6">
    <mergeCell ref="A1:G1"/>
    <mergeCell ref="A9:G9"/>
    <mergeCell ref="A10:G10"/>
    <mergeCell ref="A11:G11"/>
    <mergeCell ref="A12:G12"/>
    <mergeCell ref="A13:G1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A1" sqref="A1:F1"/>
    </sheetView>
  </sheetViews>
  <sheetFormatPr defaultColWidth="9" defaultRowHeight="13.5" outlineLevelCol="5"/>
  <cols>
    <col min="1" max="1" width="20" customWidth="1"/>
    <col min="2" max="6" width="14" customWidth="1"/>
  </cols>
  <sheetData>
    <row r="1" ht="40" customHeight="1" spans="1:6">
      <c r="A1" s="1" t="s">
        <v>387</v>
      </c>
    </row>
    <row r="2" ht="35" customHeight="1" spans="1:6">
      <c r="A2" s="2" t="s">
        <v>388</v>
      </c>
      <c r="B2" s="2" t="s">
        <v>389</v>
      </c>
      <c r="C2" s="2" t="s">
        <v>390</v>
      </c>
      <c r="D2" s="2" t="s">
        <v>391</v>
      </c>
      <c r="E2" s="2" t="s">
        <v>392</v>
      </c>
      <c r="F2" s="2" t="s">
        <v>393</v>
      </c>
    </row>
    <row r="3" ht="30" customHeight="1" spans="1:6">
      <c r="A3" s="3" t="s">
        <v>247</v>
      </c>
      <c r="B3" s="4">
        <f>SUMIFS(工作量评估明细!J:J,工作量评估明细!D:D,"后台管理系统",工作量评估明细!B:B,"开发经理(y)")</f>
        <v>0</v>
      </c>
      <c r="C3" s="4">
        <f>SUMIFS(工作量评估明细!J:J,工作量评估明细!D:D,"后台管理系统",工作量评估明细!B:B,"功能开发程序员")</f>
        <v>232</v>
      </c>
      <c r="D3" s="4">
        <f>SUMIFS(工作量评估明细!J:J,工作量评估明细!D:D,"后台管理系统",工作量评估明细!B:B,"模型算法师")</f>
        <v>336</v>
      </c>
      <c r="E3" s="4">
        <f>SUMIFS(工作量评估明细!J:J,工作量评估明细!D:D,"后台管理系统",工作量评估明细!B:B,"美工")</f>
        <v>120</v>
      </c>
      <c r="F3" s="4">
        <f>SUM(B3:E3)</f>
        <v>688</v>
      </c>
    </row>
    <row r="4" ht="30" customHeight="1" spans="1:6">
      <c r="A4" s="5" t="s">
        <v>394</v>
      </c>
      <c r="B4" s="4">
        <f>SUMIFS(工作量评估明细!J:J,工作量评估明细!D:D,"移动端",工作量评估明细!B:B,"开发经理(y)")</f>
        <v>0</v>
      </c>
      <c r="C4" s="4">
        <f>SUMIFS(工作量评估明细!J:J,工作量评估明细!D:D,"移动端",工作量评估明细!B:B,"功能开发程序员")</f>
        <v>80</v>
      </c>
      <c r="D4" s="4">
        <f>SUMIFS(工作量评估明细!J:J,工作量评估明细!D:D,"移动端",工作量评估明细!B:B,"模型算法师")</f>
        <v>0</v>
      </c>
      <c r="E4" s="4">
        <f>SUMIFS(工作量评估明细!J:J,工作量评估明细!D:D,"移动端",工作量评估明细!B:B,"美工")</f>
        <v>64</v>
      </c>
      <c r="F4" s="4">
        <f>SUM(B4:E4)</f>
        <v>144</v>
      </c>
    </row>
    <row r="5" ht="30" customHeight="1" spans="1:6">
      <c r="A5" s="6" t="s">
        <v>310</v>
      </c>
      <c r="B5" s="4">
        <f>SUMIFS(工作量评估明细!J:J,工作量评估明细!D:D,"数据大屏",工作量评估明细!B:B,"开发经理(y)")</f>
        <v>0</v>
      </c>
      <c r="C5" s="4">
        <f>SUMIFS(工作量评估明细!J:J,工作量评估明细!D:D,"数据大屏",工作量评估明细!B:B,"功能开发程序员")</f>
        <v>16</v>
      </c>
      <c r="D5" s="4">
        <f>SUMIFS(工作量评估明细!J:J,工作量评估明细!D:D,"数据大屏",工作量评估明细!B:B,"模型算法师")</f>
        <v>0</v>
      </c>
      <c r="E5" s="4">
        <f>SUMIFS(工作量评估明细!J:J,工作量评估明细!D:D,"数据大屏",工作量评估明细!B:B,"美工")</f>
        <v>24</v>
      </c>
      <c r="F5" s="4">
        <f>SUM(B5:E5)</f>
        <v>40</v>
      </c>
    </row>
    <row r="6" ht="30" customHeight="1" spans="1:6">
      <c r="A6" s="7" t="s">
        <v>395</v>
      </c>
      <c r="B6" s="4">
        <f>SUMIFS(工作量评估明细!J:J,工作量评估明细!D:D,"公共/通用",工作量评估明细!B:B,"开发经理(y)")</f>
        <v>0</v>
      </c>
      <c r="C6" s="4">
        <f>SUMIFS(工作量评估明细!J:J,工作量评估明细!D:D,"公共/通用",工作量评估明细!B:B,"功能开发程序员")</f>
        <v>104</v>
      </c>
      <c r="D6" s="4">
        <f>SUMIFS(工作量评估明细!J:J,工作量评估明细!D:D,"公共/通用",工作量评估明细!B:B,"模型算法师")</f>
        <v>96</v>
      </c>
      <c r="E6" s="4">
        <f>SUMIFS(工作量评估明细!J:J,工作量评估明细!D:D,"公共/通用",工作量评估明细!B:B,"美工")</f>
        <v>72</v>
      </c>
      <c r="F6" s="4">
        <f>SUM(B6:E6)</f>
        <v>272</v>
      </c>
    </row>
    <row r="7" ht="35" customHeight="1" spans="1:6">
      <c r="A7" s="8" t="s">
        <v>223</v>
      </c>
      <c r="B7" s="8">
        <f>SUM(B3:B6)</f>
        <v>0</v>
      </c>
      <c r="C7" s="8">
        <f>SUM(C3:C6)</f>
        <v>432</v>
      </c>
      <c r="D7" s="8">
        <f>SUM(D3:D6)</f>
        <v>432</v>
      </c>
      <c r="E7" s="8">
        <f>SUM(E3:E6)</f>
        <v>280</v>
      </c>
      <c r="F7" s="8">
        <f>SUM(F3:F6)</f>
        <v>1144</v>
      </c>
    </row>
    <row r="9" ht="35" customHeight="1" spans="1:6">
      <c r="A9" s="9" t="s">
        <v>396</v>
      </c>
    </row>
    <row r="10" ht="28" customHeight="1" spans="1:6">
      <c r="A10" s="10" t="s">
        <v>397</v>
      </c>
      <c r="B10" s="11">
        <f>F8</f>
        <v>0</v>
      </c>
      <c r="C10" s="12"/>
      <c r="D10" s="13"/>
      <c r="E10" s="4" t="s">
        <v>398</v>
      </c>
      <c r="F10" s="13"/>
    </row>
    <row r="11" ht="28" customHeight="1" spans="1:6">
      <c r="A11" s="10" t="s">
        <v>399</v>
      </c>
      <c r="B11" s="11">
        <f>F8/8</f>
        <v>0</v>
      </c>
      <c r="C11" s="12"/>
      <c r="D11" s="13"/>
      <c r="E11" s="4" t="s">
        <v>400</v>
      </c>
      <c r="F11" s="13"/>
    </row>
    <row r="12" ht="28" customHeight="1" spans="1:6">
      <c r="A12" s="10" t="s">
        <v>401</v>
      </c>
      <c r="B12" s="11">
        <v>4</v>
      </c>
      <c r="C12" s="12"/>
      <c r="D12" s="13"/>
      <c r="E12" s="4" t="s">
        <v>402</v>
      </c>
      <c r="F12" s="13"/>
    </row>
    <row r="13" ht="28" customHeight="1" spans="1:6">
      <c r="A13" s="10" t="s">
        <v>403</v>
      </c>
      <c r="B13" s="11" t="s">
        <v>404</v>
      </c>
      <c r="C13" s="12"/>
      <c r="D13" s="13"/>
      <c r="E13" s="4" t="s">
        <v>54</v>
      </c>
      <c r="F13" s="13"/>
    </row>
    <row r="14" ht="28" customHeight="1" spans="1:6">
      <c r="A14" s="10" t="s">
        <v>405</v>
      </c>
      <c r="B14" s="11">
        <v>54</v>
      </c>
      <c r="C14" s="12"/>
      <c r="D14" s="13"/>
      <c r="E14" s="4" t="s">
        <v>406</v>
      </c>
      <c r="F14" s="13"/>
    </row>
    <row r="15" ht="28" customHeight="1" spans="1:6">
      <c r="A15" s="10" t="s">
        <v>407</v>
      </c>
      <c r="B15" s="11">
        <v>8</v>
      </c>
      <c r="C15" s="12"/>
      <c r="D15" s="13"/>
      <c r="E15" s="4" t="s">
        <v>398</v>
      </c>
      <c r="F15" s="13"/>
    </row>
  </sheetData>
  <mergeCells count="14">
    <mergeCell ref="A1:F1"/>
    <mergeCell ref="A9:F9"/>
    <mergeCell ref="B10:D10"/>
    <mergeCell ref="E10:F10"/>
    <mergeCell ref="B11:D11"/>
    <mergeCell ref="E11:F11"/>
    <mergeCell ref="B12:D12"/>
    <mergeCell ref="E12:F12"/>
    <mergeCell ref="B13:D13"/>
    <mergeCell ref="E13:F13"/>
    <mergeCell ref="B14:D14"/>
    <mergeCell ref="E14:F14"/>
    <mergeCell ref="B15:D15"/>
    <mergeCell ref="E15:F15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项目概况</vt:lpstr>
      <vt:lpstr>功能页面清单</vt:lpstr>
      <vt:lpstr>工作量评估明细</vt:lpstr>
      <vt:lpstr>人员工时汇总</vt:lpstr>
      <vt:lpstr>各端工时汇总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刘友宝</cp:lastModifiedBy>
  <dcterms:created xsi:type="dcterms:W3CDTF">2026-08-04T10:01:00Z</dcterms:created>
  <dcterms:modified xsi:type="dcterms:W3CDTF">2026-08-04T10:08:29Z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9AE45D92F2754D85A7A3B2B3C032843F_12</vt:lpwstr>
  </property>
  <property fmtid="{D5CDD505-2E9C-101B-9397-08002B2CF9AE}" pid="3" name="KSOProductBuildVer">
    <vt:lpwstr>2052-12.1.0.28022</vt:lpwstr>
  </property>
  <property fmtid="{D5CDD505-2E9C-101B-9397-08002B2CF9AE}" pid="4" name="CalculationRule">
    <vt:i4>0</vt:i4>
  </property>
</Properties>
</file>