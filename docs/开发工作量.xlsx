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2192" windowHeight="10455"/>
  </bookViews>
  <sheets>
    <sheet name="项目概况" sheetId="1" r:id="rId1"/>
    <sheet name="功能清单" sheetId="2" r:id="rId2"/>
    <sheet name="工时汇总" sheetId="4" r:id="rId3"/>
    <sheet name="开发成本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<sst xmlns="http://schemas.openxmlformats.org/spreadsheetml/2006/main" count="521" uniqueCount="282">
  <si>
    <t>南丰蜜桔模型管理系统 — 开发工作量评估表</t>
  </si>
  <si>
    <t>功能原型界面链接：https://user007a.github.io/pro_orangemodel/</t>
  </si>
  <si>
    <t>项目名称</t>
  </si>
  <si>
    <t>南丰蜜桔模型管理系统</t>
  </si>
  <si>
    <t>项目周期</t>
  </si>
  <si>
    <t>2026年8月10日 — 2026年10月31日</t>
  </si>
  <si>
    <t>工作日统计</t>
  </si>
  <si>
    <t>共54个工作日（8月16天 + 9月21天 + 10月17天），每日8小时</t>
  </si>
  <si>
    <t>法定节假日</t>
  </si>
  <si>
    <t>中秋节9月25日（周五）；国庆节10月1日-7日</t>
  </si>
  <si>
    <t>团队规模</t>
  </si>
  <si>
    <t>5人（开发经理1人 + 功能开发2人 + 模型算法师1人 + 美工1人）</t>
  </si>
  <si>
    <t>覆盖范围</t>
  </si>
  <si>
    <t>后台管理系统47页 + 移动端19页 + 数据大屏2页 = 68个页面</t>
  </si>
  <si>
    <t>团队成员与职责</t>
  </si>
  <si>
    <t>角色</t>
  </si>
  <si>
    <t>人员</t>
  </si>
  <si>
    <t>主要职责</t>
  </si>
  <si>
    <t>工作日</t>
  </si>
  <si>
    <t>总工时(小时)</t>
  </si>
  <si>
    <t>开发经理（核心程序员）</t>
  </si>
  <si>
    <t>洪*</t>
  </si>
  <si>
    <t>研发管理、系统架构设计、核心框架与双模型计算引擎开发、技术文档</t>
  </si>
  <si>
    <t>功能开发程序员</t>
  </si>
  <si>
    <t>文*</t>
  </si>
  <si>
    <t>后台47页业务功能开发、接口对接、测试</t>
  </si>
  <si>
    <t>李*</t>
  </si>
  <si>
    <t>移动端19页+大屏2页的业务功能开发、接口对接、测试</t>
  </si>
  <si>
    <t>模型算法师</t>
  </si>
  <si>
    <t>唐*</t>
  </si>
  <si>
    <t>生长模型与病虫害模型核心算法研究、因子诊断预警、基础数据与验证</t>
  </si>
  <si>
    <t>美工</t>
  </si>
  <si>
    <t>三端页面UI美化、设计规范、图标素材、交互走查</t>
  </si>
  <si>
    <t>合计</t>
  </si>
  <si>
    <t>关键假设与说明</t>
  </si>
  <si>
    <t>1. 标准工作制：周一至周五，每天8小时（9:00-12:00, 13:30-18:30）</t>
  </si>
  <si>
    <t>2. 法定节假日：中秋节9月25日（周五）放假1天；国庆节10月1日-7日放假7天（含周末2天）</t>
  </si>
  <si>
    <t>3. 无调休补班日，总工作日54天，总可用工时432小时/人</t>
  </si>
  <si>
    <t>4. 美工任务于10月1日提前完成，剩余时间可协助其他岗位或处理设计走查</t>
  </si>
  <si>
    <t>5. 开发经理(洪*)承担研发管理+架构设计+核心程序编写，任务最为关键</t>
  </si>
  <si>
    <t>6. 模型算法师全程参与，前期研究算法、后期协助开发联调，输出最为重要</t>
  </si>
  <si>
    <t>7. "开发用时(天)"为该功能页面总人天投入（含开发+算法+美化），非单一角色工作量</t>
  </si>
  <si>
    <t>8. 公共/通用任务包含架构设计、框架搭建、系统集成、部署上线、文档等跨端工作</t>
  </si>
  <si>
    <t>功能页面清单与开发用量估算</t>
  </si>
  <si>
    <t>系统名称</t>
  </si>
  <si>
    <t>一级菜单</t>
  </si>
  <si>
    <t>二级菜单</t>
  </si>
  <si>
    <t>内容描述</t>
  </si>
  <si>
    <t>备注</t>
  </si>
  <si>
    <t>开发用时(人天)</t>
  </si>
  <si>
    <t>模型管理后台</t>
  </si>
  <si>
    <t>系统首页</t>
  </si>
  <si>
    <t>系统框架</t>
  </si>
  <si>
    <t>系统主框架，含侧边栏导航、顶部栏、iframe路由、用户菜单、通知/个人设置/修改个人密码</t>
  </si>
  <si>
    <t/>
  </si>
  <si>
    <t>登录认证</t>
  </si>
  <si>
    <t>系统登录页，支持账号密码登录认证</t>
  </si>
  <si>
    <t>系统总览看板，展示模型运行状态、预警概览、数据统计、用户等核心指标、近期操作提醒等</t>
  </si>
  <si>
    <t>生长模型</t>
  </si>
  <si>
    <t>模型说明</t>
  </si>
  <si>
    <t>生长模型算法原理与参数说明文档页</t>
  </si>
  <si>
    <t>基础档案</t>
  </si>
  <si>
    <t>南丰蜜桔基础档案管理，含品系管理、地块档案、生长阶段参数维护</t>
  </si>
  <si>
    <t>因子采集</t>
  </si>
  <si>
    <t>生长因子数据采集管理，含物联网实时数据、人工采样录入、农事操作记录</t>
  </si>
  <si>
    <t>农事建议</t>
  </si>
  <si>
    <t>农事建议方案库管理，含方案增删改查、因子-建议关联配置、方案测试、因子映射</t>
  </si>
  <si>
    <t>开发重难点</t>
  </si>
  <si>
    <t>模型计算</t>
  </si>
  <si>
    <t>生长模型批量计算中心，含适宜度/门控/生长增量/扣分/综合评分计算与调度日志</t>
  </si>
  <si>
    <t>诊断分析</t>
  </si>
  <si>
    <t>生长综合诊断分析，含综合评分面板、六维度因子分析、扣分明细溯源、农事建议匹配</t>
  </si>
  <si>
    <t>评价报告</t>
  </si>
  <si>
    <t>生长综合评价报告，含报告预览、自动生成、历史报告管理</t>
  </si>
  <si>
    <t>数据校准</t>
  </si>
  <si>
    <t>模型数据校准，含历史数据对比、参数微调、校准日志</t>
  </si>
  <si>
    <t>病虫害模型</t>
  </si>
  <si>
    <t>病虫害预测模型算法原理与参数说明文档页</t>
  </si>
  <si>
    <t>监测数据</t>
  </si>
  <si>
    <t>病虫害监测数据管理，含监测数据录入、查看与统计</t>
  </si>
  <si>
    <t>参数配置</t>
  </si>
  <si>
    <t>病虫害预测模型参数配置，含模型阈值、预测参数设置</t>
  </si>
  <si>
    <t>预测计算</t>
  </si>
  <si>
    <t>病虫害预测计算中心，运行模型输出预测结果与计算日志</t>
  </si>
  <si>
    <t>风险诊断</t>
  </si>
  <si>
    <t>病虫害风险诊断分析，含风险等级评估、诊断结论与防控建议</t>
  </si>
  <si>
    <t>预测报告</t>
  </si>
  <si>
    <t>病虫害预测报告，含报告生成、预览与历史记录</t>
  </si>
  <si>
    <t>防控方案</t>
  </si>
  <si>
    <t>病虫害防控方案管理，含防控方案配置与建议输出</t>
  </si>
  <si>
    <t>数据管理</t>
  </si>
  <si>
    <t>病害数据库</t>
  </si>
  <si>
    <t>南丰蜜桔常见病害信息管理，含病害名称、症状、防治方法的增删改查</t>
  </si>
  <si>
    <t>虫害数据库</t>
  </si>
  <si>
    <t>南丰蜜桔常见虫害信息管理，含虫害种类、特征、防治措施的数据维护</t>
  </si>
  <si>
    <t>灾害数据库</t>
  </si>
  <si>
    <t>南丰蜜桔常见气象灾害信息管理，含灾害类型、等级、应对措施的数据维护</t>
  </si>
  <si>
    <t>品种数据库</t>
  </si>
  <si>
    <t>南丰蜜桔常见品种信息管理，含品种特性、适宜条件、产量数据维护</t>
  </si>
  <si>
    <t>气象数据库</t>
  </si>
  <si>
    <t>南丰县已安装的气象监测站点管理与实时气象数据查看（温度/湿度/光照/风速/降雨量/气压）</t>
  </si>
  <si>
    <t>墒情数据库</t>
  </si>
  <si>
    <t>南丰县已安装的土壤墒情监测站点管理与历史墒情数据查看（墒情值/pH/有机质/氮磷钾）</t>
  </si>
  <si>
    <t>视频监测库</t>
  </si>
  <si>
    <t>南丰县已安装的视频监控设备管理，含设备编号、监控点、监测类型、在线状态维护</t>
  </si>
  <si>
    <t>价格数据库</t>
  </si>
  <si>
    <t>南丰蜜桔价格行情数据管理，含最高价/最低价/平均价的数据维护与查看</t>
  </si>
  <si>
    <t>物候数据库</t>
  </si>
  <si>
    <t>南丰蜜桔物候期数据管理，记录各生长阶段物候信息</t>
  </si>
  <si>
    <t>人工上报</t>
  </si>
  <si>
    <t>人工采集数据上报管理，支持数据录入、审核与查看</t>
  </si>
  <si>
    <t>外部抓取</t>
  </si>
  <si>
    <t>外部数据源抓取配置，支持气象局/农业大数据/价格行情/测报等已有系统数据对接</t>
  </si>
  <si>
    <t>预警管理</t>
  </si>
  <si>
    <t>预警信息列表与处置，含预警等级、类型、状态的查看与处理</t>
  </si>
  <si>
    <t>处置记录</t>
  </si>
  <si>
    <t>预警处置记录管理，记录处置措施、结果、责任人</t>
  </si>
  <si>
    <t>预警规则</t>
  </si>
  <si>
    <t>预警触发规则配置，含指标阈值、预警等级、通知方式设置</t>
  </si>
  <si>
    <t>预警模板</t>
  </si>
  <si>
    <t>预警消息模板管理，含模板审核、内容设置、流程配置</t>
  </si>
  <si>
    <t>微信后台</t>
  </si>
  <si>
    <t>微信用户</t>
  </si>
  <si>
    <t>移动端用户管理，含用户信息、绑定果园、活跃度查看</t>
  </si>
  <si>
    <t>果园管理</t>
  </si>
  <si>
    <t>用户果园地块管理，含地块信息、面积、品种、树龄维护</t>
  </si>
  <si>
    <t>资讯管理</t>
  </si>
  <si>
    <t>农技资讯内容管理，含资讯发布、编辑、富文本编辑器与图片上传</t>
  </si>
  <si>
    <t>建议采纳</t>
  </si>
  <si>
    <t>农户对预警/建议的采纳记录管理，含采纳结果与异议内容</t>
  </si>
  <si>
    <t>识别日志</t>
  </si>
  <si>
    <t>病虫害AI识别日志记录，含识别结果、图片、时间查看</t>
  </si>
  <si>
    <t>系统管理</t>
  </si>
  <si>
    <t>用户管理</t>
  </si>
  <si>
    <t>后台系统用户管理，含账号创建、角色分配、密码重置</t>
  </si>
  <si>
    <t>角色管理</t>
  </si>
  <si>
    <t>系统角色与权限管理，含角色创建、菜单权限配置</t>
  </si>
  <si>
    <t>模型管理后台 小计</t>
  </si>
  <si>
    <t>模型监测大屏</t>
  </si>
  <si>
    <t>生长模型大屏</t>
  </si>
  <si>
    <t>KPI指标概览</t>
  </si>
  <si>
    <t>8项核心指标：用户主体/活跃度/监控植株数/报告数/整体评分/农事建议数/采纳率/学习次数</t>
  </si>
  <si>
    <t>环境监测数据</t>
  </si>
  <si>
    <t>实时环境指标展示：土壤温湿度/养分/光照强度/空气温湿度</t>
  </si>
  <si>
    <t>植株综合评测分析</t>
  </si>
  <si>
    <t>健康指数环图/综合评分/等级分布/健康趋势图</t>
  </si>
  <si>
    <t>模型农事建议</t>
  </si>
  <si>
    <t>生长模型生成的农事建议列表及完成时限</t>
  </si>
  <si>
    <t>植株评价监测总览地图</t>
  </si>
  <si>
    <t>南丰县地图/乡镇标注/监测点位气泡分布</t>
  </si>
  <si>
    <t>综合评价子项分析</t>
  </si>
  <si>
    <t>各评价子项趋势分析图表</t>
  </si>
  <si>
    <t>农事建议落地统计</t>
  </si>
  <si>
    <t>农事建议采纳与执行情况统计图</t>
  </si>
  <si>
    <t>生长阶段分布</t>
  </si>
  <si>
    <t>监测植株的生长阶段分布统计图</t>
  </si>
  <si>
    <t>病虫害模型大屏</t>
  </si>
  <si>
    <t>8项核心指标：病害种类/虫害种类/识别准确率/预警总数/处置完成率/灾害类型/采纳率/预警准确率</t>
  </si>
  <si>
    <t>高发病虫害排名</t>
  </si>
  <si>
    <t>病虫害发生频次排名列表</t>
  </si>
  <si>
    <t>实时识别记录</t>
  </si>
  <si>
    <t>病虫害AI识别实时记录图表</t>
  </si>
  <si>
    <t>分级预警信息台账</t>
  </si>
  <si>
    <t>按等级分类的预警信息列表</t>
  </si>
  <si>
    <t>区域风险热力分布地图</t>
  </si>
  <si>
    <t>病虫害风险等级/预警统计/健康指数/图例/滚动信息</t>
  </si>
  <si>
    <t>气象实时数据</t>
  </si>
  <si>
    <t>实时气象指标展示卡片</t>
  </si>
  <si>
    <t>气象灾害风险预判</t>
  </si>
  <si>
    <t>气象灾害风险预判分析</t>
  </si>
  <si>
    <t>模型预警准确率及趋势</t>
  </si>
  <si>
    <t>预警准确率趋势图表</t>
  </si>
  <si>
    <t>年度病虫害及灾害损失对比</t>
  </si>
  <si>
    <t>年度损失数据对比图</t>
  </si>
  <si>
    <t>防护建议落地情况</t>
  </si>
  <si>
    <t>防护建议执行情况统计</t>
  </si>
  <si>
    <t>模型监测大屏 小计</t>
  </si>
  <si>
    <t>蜜桔农业助手</t>
  </si>
  <si>
    <t>首页</t>
  </si>
  <si>
    <t>综合看板：天气/预警状态/跑马灯消息/常用服务入口/实时价格/农事推荐/资讯</t>
  </si>
  <si>
    <t>病虫害服务</t>
  </si>
  <si>
    <t>AI智能识别</t>
  </si>
  <si>
    <t>拍照识别病虫害，返回病害名称、特征与防治建议</t>
  </si>
  <si>
    <t>病虫害知识库</t>
  </si>
  <si>
    <t>病虫害知识浏览与检索，含症状图片、防治方法</t>
  </si>
  <si>
    <t>长势评价</t>
  </si>
  <si>
    <t>植株指标数据录入</t>
  </si>
  <si>
    <t>植株生长指标录入表单，提交后生成评价</t>
  </si>
  <si>
    <t>植株综合评价报告</t>
  </si>
  <si>
    <t>评价结果展示，含各维度评分、雷达图与建议</t>
  </si>
  <si>
    <t>数据采集</t>
  </si>
  <si>
    <t>环境监测</t>
  </si>
  <si>
    <t>园区环境实时监测数据展示与趋势图（温湿度/光照/风速等）</t>
  </si>
  <si>
    <t>数据上报</t>
  </si>
  <si>
    <t>人工数据上报表单，支持多类型数据录入提交</t>
  </si>
  <si>
    <t>我的果园</t>
  </si>
  <si>
    <t>用户果园地块信息与监测数据查看</t>
  </si>
  <si>
    <t>农技资讯</t>
  </si>
  <si>
    <t>资讯首页，分类展示农技文章与推荐内容</t>
  </si>
  <si>
    <t>资讯列表</t>
  </si>
  <si>
    <t>农技资讯列表页，支持分类浏览与检索</t>
  </si>
  <si>
    <t>资讯详情</t>
  </si>
  <si>
    <t>农技资讯详情页，富文本内容与图片展示</t>
  </si>
  <si>
    <t>学习中心</t>
  </si>
  <si>
    <t>学习中心，记录学习进度与课程列表</t>
  </si>
  <si>
    <t>价格行情</t>
  </si>
  <si>
    <t>价格指数</t>
  </si>
  <si>
    <t>蜜桔价格行情展示与历史趋势图</t>
  </si>
  <si>
    <t>消息中心</t>
  </si>
  <si>
    <t>我的消息</t>
  </si>
  <si>
    <t>预警/农事/AI/资讯消息列表与详情，支持采纳与异议反馈</t>
  </si>
  <si>
    <t>个人中心</t>
  </si>
  <si>
    <t>我的</t>
  </si>
  <si>
    <t>个人中心入口页，展示功能菜单与统计概览</t>
  </si>
  <si>
    <t>个人信息</t>
  </si>
  <si>
    <t>个人信息查看与编辑</t>
  </si>
  <si>
    <t>上报记录</t>
  </si>
  <si>
    <t>历史数据上报记录查看</t>
  </si>
  <si>
    <t>我的报告</t>
  </si>
  <si>
    <t>评价报告与生成记录查看</t>
  </si>
  <si>
    <t>设置</t>
  </si>
  <si>
    <t>账号设置、消息提醒开关、退出登录</t>
  </si>
  <si>
    <t>蜜桔农业助手 小计</t>
  </si>
  <si>
    <t>第三方对接</t>
  </si>
  <si>
    <t>平台对接</t>
  </si>
  <si>
    <t>用户和单点登录</t>
  </si>
  <si>
    <t>用户</t>
  </si>
  <si>
    <t>需要双方配合</t>
  </si>
  <si>
    <t>设备</t>
  </si>
  <si>
    <t>设备数据（多种类型）</t>
  </si>
  <si>
    <t>第三方对接 小计</t>
  </si>
  <si>
    <t>总计</t>
  </si>
  <si>
    <t>人员工时汇总表</t>
  </si>
  <si>
    <t>角色/人员</t>
  </si>
  <si>
    <t>后台管理系统(天)</t>
  </si>
  <si>
    <t>移动端(天)</t>
  </si>
  <si>
    <t>数据大屏(天)</t>
  </si>
  <si>
    <t>总工时(天)</t>
  </si>
  <si>
    <t>利用率</t>
  </si>
  <si>
    <t>开发经理</t>
  </si>
  <si>
    <t>说明：</t>
  </si>
  <si>
    <t>1. 总可用工时 = 54个工作日 × 8小时 = 432小时/人</t>
  </si>
  <si>
    <t>2. 利用率 = 该人员总工时 / 432小时</t>
  </si>
  <si>
    <t>3. 美工于9月28日提前完工，利用率为64.8%，剩余时间可安排其他设计工作</t>
  </si>
  <si>
    <t>4. 各端工时含该端专属任务 + 公共任务中按比例分摊的部分（此表为原始值，未分摊公共任务）</t>
  </si>
  <si>
    <t>南丰蜜桔模型管理项目成本核算</t>
  </si>
  <si>
    <t>单位：万元</t>
  </si>
  <si>
    <t>分类</t>
  </si>
  <si>
    <t>成本项</t>
  </si>
  <si>
    <t>工作内容</t>
  </si>
  <si>
    <t>单位</t>
  </si>
  <si>
    <t>单价</t>
  </si>
  <si>
    <t>数量</t>
  </si>
  <si>
    <t>总价</t>
  </si>
  <si>
    <t>人力成本</t>
  </si>
  <si>
    <t>研发经理</t>
  </si>
  <si>
    <t>研发人员管理，系统交付负责，架构、核心代码编写</t>
  </si>
  <si>
    <t>月</t>
  </si>
  <si>
    <t>算法工程师</t>
  </si>
  <si>
    <t>模型的算法、因子、知识库、诊断、农事等内容的填录、配置、调整</t>
  </si>
  <si>
    <t>软件工程师</t>
  </si>
  <si>
    <t>后台管理系统和大屏数据的后台软件功能开发</t>
  </si>
  <si>
    <t>小程序、数据对接等软件功能开发</t>
  </si>
  <si>
    <t>前端工程师</t>
  </si>
  <si>
    <t>大屏、小程序、后台的软件功能前端界面美化</t>
  </si>
  <si>
    <t>外购</t>
  </si>
  <si>
    <t>病虫害识别</t>
  </si>
  <si>
    <t>百度或者其他的病虫害识别组件，按次识别</t>
  </si>
  <si>
    <t>项</t>
  </si>
  <si>
    <t>AI模型工具</t>
  </si>
  <si>
    <t>购买国内的AI模型额度，用于处理项目的文档、算法等</t>
  </si>
  <si>
    <t>PDF组件</t>
  </si>
  <si>
    <t>外购组件，用于报告的PDF生成、预览、下载和打印</t>
  </si>
  <si>
    <t>办公</t>
  </si>
  <si>
    <t>办公场地租凭</t>
  </si>
  <si>
    <t>办公场地租用（呆在一起办公提升沟通和开发效率）</t>
  </si>
  <si>
    <t>水电网物业费</t>
  </si>
  <si>
    <t>办公场水电费（呆在一起办公提升沟通和开发效率）</t>
  </si>
  <si>
    <t>差旅</t>
  </si>
  <si>
    <t>需要去现场与农技员确认算法、因子（含住宿、路餐费）</t>
  </si>
  <si>
    <t>天</t>
  </si>
  <si>
    <t>需要去现场与原智慧项目确认架构及技术对接（含住宿、路餐费）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</si>
</sst>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9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0"/>
      <name val="微软雅黑"/>
      <charset val="134"/>
    </font>
    <font>
      <sz val="12"/>
      <color theme="0"/>
      <name val="微软雅黑"/>
      <charset val="134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b/>
      <sz val="11"/>
      <color rgb="FFFFFFFF"/>
      <name val="微软雅黑"/>
      <charset val="134"/>
    </font>
    <font>
      <b/>
      <sz val="10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8"/>
      <color rgb="FFFFFFFF"/>
      <name val="微软雅黑"/>
      <charset val="134"/>
    </font>
    <font>
      <sz val="10"/>
      <color rgb="FF666666"/>
      <name val="微软雅黑"/>
      <charset val="134"/>
    </font>
    <font>
      <sz val="11"/>
      <color rgb="FF000000"/>
      <name val="微软雅黑"/>
      <charset val="134"/>
    </font>
    <font>
      <b/>
      <sz val="14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4" borderId="1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5" borderId="13" applyNumberFormat="0" applyAlignment="0" applyProtection="0">
      <alignment vertical="center"/>
    </xf>
    <xf numFmtId="0" fontId="29" fillId="16" borderId="14" applyNumberFormat="0" applyAlignment="0" applyProtection="0">
      <alignment vertical="center"/>
    </xf>
    <xf numFmtId="0" fontId="30" fillId="16" borderId="13" applyNumberFormat="0" applyAlignment="0" applyProtection="0">
      <alignment vertical="center"/>
    </xf>
    <xf numFmtId="0" fontId="31" fillId="17" borderId="15" applyNumberFormat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</cellStyleXfs>
  <cellXfs count="46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76" fontId="9" fillId="0" borderId="4" xfId="0" applyNumberFormat="1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176" fontId="10" fillId="4" borderId="5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9" fillId="10" borderId="4" xfId="0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16" fillId="5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wrapText="1"/>
    </xf>
    <xf numFmtId="0" fontId="19" fillId="6" borderId="0" xfId="0" applyFont="1" applyFill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topLeftCell="A2" workbookViewId="0">
      <selection activeCell="A2" sqref="A2:E2"/>
    </sheetView>
  </sheetViews>
  <sheetFormatPr defaultColWidth="9" defaultRowHeight="13.5" outlineLevelCol="4"/>
  <cols>
    <col min="1" max="5" width="22" customWidth="1"/>
  </cols>
  <sheetData>
    <row r="1" ht="49.95" customHeight="1" spans="1:5">
      <c r="A1" s="37" t="s">
        <v>0</v>
      </c>
    </row>
    <row r="2" ht="25.05" customHeight="1" spans="1:5">
      <c r="A2" s="38" t="s">
        <v>1</v>
      </c>
    </row>
    <row r="4" ht="28.05" customHeight="1" spans="1:5">
      <c r="A4" s="39" t="s">
        <v>2</v>
      </c>
      <c r="B4" s="30"/>
      <c r="C4" s="40" t="s">
        <v>3</v>
      </c>
      <c r="D4" s="29"/>
      <c r="E4" s="30"/>
    </row>
    <row r="5" ht="28.05" customHeight="1" spans="1:5">
      <c r="A5" s="39" t="s">
        <v>4</v>
      </c>
      <c r="B5" s="30"/>
      <c r="C5" s="40" t="s">
        <v>5</v>
      </c>
      <c r="D5" s="29"/>
      <c r="E5" s="30"/>
    </row>
    <row r="6" ht="28.05" customHeight="1" spans="1:5">
      <c r="A6" s="39" t="s">
        <v>6</v>
      </c>
      <c r="B6" s="30"/>
      <c r="C6" s="40" t="s">
        <v>7</v>
      </c>
      <c r="D6" s="29"/>
      <c r="E6" s="30"/>
    </row>
    <row r="7" ht="28.05" customHeight="1" spans="1:5">
      <c r="A7" s="39" t="s">
        <v>8</v>
      </c>
      <c r="B7" s="30"/>
      <c r="C7" s="40" t="s">
        <v>9</v>
      </c>
      <c r="D7" s="29"/>
      <c r="E7" s="30"/>
    </row>
    <row r="8" ht="28.05" customHeight="1" spans="1:5">
      <c r="A8" s="39" t="s">
        <v>10</v>
      </c>
      <c r="B8" s="30"/>
      <c r="C8" s="40" t="s">
        <v>11</v>
      </c>
      <c r="D8" s="29"/>
      <c r="E8" s="30"/>
    </row>
    <row r="9" ht="28.05" customHeight="1" spans="1:5">
      <c r="A9" s="39" t="s">
        <v>12</v>
      </c>
      <c r="B9" s="30"/>
      <c r="C9" s="40" t="s">
        <v>13</v>
      </c>
      <c r="D9" s="29"/>
      <c r="E9" s="30"/>
    </row>
    <row r="11" ht="34.95" customHeight="1" spans="1:5">
      <c r="A11" s="41" t="s">
        <v>14</v>
      </c>
    </row>
    <row r="12" ht="30" customHeight="1" spans="1:5">
      <c r="A12" s="42" t="s">
        <v>15</v>
      </c>
      <c r="B12" s="42" t="s">
        <v>16</v>
      </c>
      <c r="C12" s="42" t="s">
        <v>17</v>
      </c>
      <c r="D12" s="42" t="s">
        <v>18</v>
      </c>
      <c r="E12" s="42" t="s">
        <v>19</v>
      </c>
    </row>
    <row r="13" ht="41.65" spans="1:5">
      <c r="A13" s="27" t="s">
        <v>20</v>
      </c>
      <c r="B13" s="15" t="s">
        <v>21</v>
      </c>
      <c r="C13" s="23" t="s">
        <v>22</v>
      </c>
      <c r="D13" s="15">
        <v>60</v>
      </c>
      <c r="E13" s="15">
        <f>D13*8</f>
        <v>480</v>
      </c>
    </row>
    <row r="14" ht="27.75" spans="1:5">
      <c r="A14" s="27" t="s">
        <v>23</v>
      </c>
      <c r="B14" s="15" t="s">
        <v>24</v>
      </c>
      <c r="C14" s="23" t="s">
        <v>25</v>
      </c>
      <c r="D14" s="15">
        <v>48</v>
      </c>
      <c r="E14" s="15">
        <f>D14*8</f>
        <v>384</v>
      </c>
    </row>
    <row r="15" ht="41.65" spans="1:5">
      <c r="A15" s="27" t="s">
        <v>23</v>
      </c>
      <c r="B15" s="15" t="s">
        <v>26</v>
      </c>
      <c r="C15" s="23" t="s">
        <v>27</v>
      </c>
      <c r="D15" s="15">
        <v>48</v>
      </c>
      <c r="E15" s="15">
        <f>D15*8</f>
        <v>384</v>
      </c>
    </row>
    <row r="16" ht="41.65" spans="1:5">
      <c r="A16" s="27" t="s">
        <v>28</v>
      </c>
      <c r="B16" s="15" t="s">
        <v>29</v>
      </c>
      <c r="C16" s="23" t="s">
        <v>30</v>
      </c>
      <c r="D16" s="15">
        <v>30</v>
      </c>
      <c r="E16" s="15">
        <f>D16*8</f>
        <v>240</v>
      </c>
    </row>
    <row r="17" ht="27.75" spans="1:5">
      <c r="A17" s="27" t="s">
        <v>31</v>
      </c>
      <c r="B17" s="15" t="s">
        <v>26</v>
      </c>
      <c r="C17" s="23" t="s">
        <v>32</v>
      </c>
      <c r="D17" s="15">
        <v>34</v>
      </c>
      <c r="E17" s="15">
        <f>D17*8</f>
        <v>272</v>
      </c>
    </row>
    <row r="18" ht="30" customHeight="1" spans="1:5">
      <c r="A18" s="43" t="s">
        <v>33</v>
      </c>
      <c r="B18" s="44"/>
      <c r="C18" s="44"/>
      <c r="D18" s="43">
        <f>SUM(D13:D17)</f>
        <v>220</v>
      </c>
      <c r="E18" s="43">
        <f>SUM(E13:E17)</f>
        <v>1760</v>
      </c>
    </row>
    <row r="20" ht="34.95" customHeight="1" spans="1:5">
      <c r="A20" s="41" t="s">
        <v>34</v>
      </c>
    </row>
    <row r="21" ht="25.05" customHeight="1" spans="1:5">
      <c r="A21" s="45" t="s">
        <v>35</v>
      </c>
    </row>
    <row r="22" ht="25.05" customHeight="1" spans="1:5">
      <c r="A22" s="45" t="s">
        <v>36</v>
      </c>
    </row>
    <row r="23" ht="25.05" customHeight="1" spans="1:5">
      <c r="A23" s="45" t="s">
        <v>37</v>
      </c>
    </row>
    <row r="24" ht="25.05" customHeight="1" spans="1:5">
      <c r="A24" s="45" t="s">
        <v>38</v>
      </c>
    </row>
    <row r="25" ht="25.05" customHeight="1" spans="1:5">
      <c r="A25" s="45" t="s">
        <v>39</v>
      </c>
    </row>
    <row r="26" ht="25.05" customHeight="1" spans="1:5">
      <c r="A26" s="45" t="s">
        <v>40</v>
      </c>
    </row>
    <row r="27" ht="25.05" customHeight="1" spans="1:5">
      <c r="A27" s="45" t="s">
        <v>41</v>
      </c>
    </row>
    <row r="28" ht="25.05" customHeight="1" spans="1:5">
      <c r="A28" s="45" t="s">
        <v>42</v>
      </c>
    </row>
  </sheetData>
  <mergeCells count="24">
    <mergeCell ref="A1:E1"/>
    <mergeCell ref="A2:E2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1:E11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6"/>
  <sheetViews>
    <sheetView workbookViewId="0">
      <selection activeCell="B12" sqref="B12"/>
    </sheetView>
  </sheetViews>
  <sheetFormatPr defaultColWidth="9" defaultRowHeight="13.5" outlineLevelCol="5"/>
  <cols>
    <col min="1" max="1" width="16" customWidth="1"/>
    <col min="2" max="2" width="14" customWidth="1"/>
    <col min="3" max="3" width="16" customWidth="1"/>
    <col min="4" max="4" width="50" customWidth="1"/>
    <col min="5" max="5" width="15.7787610619469" customWidth="1"/>
    <col min="6" max="6" width="19.5575221238938" customWidth="1"/>
  </cols>
  <sheetData>
    <row r="1" ht="40.05" customHeight="1" spans="1:6">
      <c r="A1" s="13" t="s">
        <v>43</v>
      </c>
    </row>
    <row r="2" ht="30" customHeight="1" spans="1:6">
      <c r="A2" s="21" t="s">
        <v>44</v>
      </c>
      <c r="B2" s="21" t="s">
        <v>45</v>
      </c>
      <c r="C2" s="21" t="s">
        <v>46</v>
      </c>
      <c r="D2" s="21" t="s">
        <v>47</v>
      </c>
      <c r="E2" s="21" t="s">
        <v>48</v>
      </c>
      <c r="F2" s="21" t="s">
        <v>49</v>
      </c>
    </row>
    <row r="3" ht="28.05" customHeight="1" spans="1:6">
      <c r="A3" s="22" t="s">
        <v>50</v>
      </c>
      <c r="B3" s="22" t="s">
        <v>51</v>
      </c>
      <c r="C3" s="22" t="s">
        <v>52</v>
      </c>
      <c r="D3" s="23" t="s">
        <v>53</v>
      </c>
      <c r="E3" s="15" t="s">
        <v>54</v>
      </c>
      <c r="F3" s="15">
        <v>5</v>
      </c>
    </row>
    <row r="4" ht="28.05" customHeight="1" spans="1:6">
      <c r="A4" s="22" t="s">
        <v>54</v>
      </c>
      <c r="B4" s="22" t="s">
        <v>54</v>
      </c>
      <c r="C4" s="22" t="s">
        <v>55</v>
      </c>
      <c r="D4" s="23" t="s">
        <v>56</v>
      </c>
      <c r="E4" s="15" t="s">
        <v>54</v>
      </c>
      <c r="F4" s="15">
        <v>1</v>
      </c>
    </row>
    <row r="5" ht="28.05" customHeight="1" spans="1:6">
      <c r="A5" s="22" t="s">
        <v>54</v>
      </c>
      <c r="B5" s="22" t="s">
        <v>54</v>
      </c>
      <c r="C5" s="22" t="s">
        <v>51</v>
      </c>
      <c r="D5" s="23" t="s">
        <v>57</v>
      </c>
      <c r="E5" s="15" t="s">
        <v>54</v>
      </c>
      <c r="F5" s="15">
        <v>3</v>
      </c>
    </row>
    <row r="6" ht="28.05" customHeight="1" spans="1:6">
      <c r="A6" s="22" t="s">
        <v>54</v>
      </c>
      <c r="B6" s="22" t="s">
        <v>58</v>
      </c>
      <c r="C6" s="22" t="s">
        <v>59</v>
      </c>
      <c r="D6" s="23" t="s">
        <v>60</v>
      </c>
      <c r="E6" s="15" t="s">
        <v>54</v>
      </c>
      <c r="F6" s="15">
        <v>3</v>
      </c>
    </row>
    <row r="7" ht="28.05" customHeight="1" spans="1:6">
      <c r="A7" s="22" t="s">
        <v>54</v>
      </c>
      <c r="B7" s="22" t="s">
        <v>54</v>
      </c>
      <c r="C7" s="22" t="s">
        <v>61</v>
      </c>
      <c r="D7" s="23" t="s">
        <v>62</v>
      </c>
      <c r="E7" s="15" t="s">
        <v>54</v>
      </c>
      <c r="F7" s="15">
        <v>3</v>
      </c>
    </row>
    <row r="8" ht="28.05" customHeight="1" spans="1:6">
      <c r="A8" s="22" t="s">
        <v>54</v>
      </c>
      <c r="B8" s="22" t="s">
        <v>54</v>
      </c>
      <c r="C8" s="22" t="s">
        <v>63</v>
      </c>
      <c r="D8" s="23" t="s">
        <v>64</v>
      </c>
      <c r="E8" s="15" t="s">
        <v>54</v>
      </c>
      <c r="F8" s="15">
        <v>3</v>
      </c>
    </row>
    <row r="9" ht="28.05" customHeight="1" spans="1:6">
      <c r="A9" s="24" t="s">
        <v>54</v>
      </c>
      <c r="B9" s="24" t="s">
        <v>54</v>
      </c>
      <c r="C9" s="24" t="s">
        <v>65</v>
      </c>
      <c r="D9" s="25" t="s">
        <v>66</v>
      </c>
      <c r="E9" s="26" t="s">
        <v>67</v>
      </c>
      <c r="F9" s="27">
        <v>6</v>
      </c>
    </row>
    <row r="10" ht="28.05" customHeight="1" spans="1:6">
      <c r="A10" s="24" t="s">
        <v>54</v>
      </c>
      <c r="B10" s="24" t="s">
        <v>54</v>
      </c>
      <c r="C10" s="24" t="s">
        <v>68</v>
      </c>
      <c r="D10" s="25" t="s">
        <v>69</v>
      </c>
      <c r="E10" s="26" t="s">
        <v>67</v>
      </c>
      <c r="F10" s="27">
        <v>6</v>
      </c>
    </row>
    <row r="11" ht="28.05" customHeight="1" spans="1:6">
      <c r="A11" s="24" t="s">
        <v>54</v>
      </c>
      <c r="B11" s="24" t="s">
        <v>54</v>
      </c>
      <c r="C11" s="24" t="s">
        <v>70</v>
      </c>
      <c r="D11" s="25" t="s">
        <v>71</v>
      </c>
      <c r="E11" s="26" t="s">
        <v>67</v>
      </c>
      <c r="F11" s="27">
        <v>6</v>
      </c>
    </row>
    <row r="12" ht="28.05" customHeight="1" spans="1:6">
      <c r="A12" s="24" t="s">
        <v>54</v>
      </c>
      <c r="B12" s="24" t="s">
        <v>54</v>
      </c>
      <c r="C12" s="24" t="s">
        <v>72</v>
      </c>
      <c r="D12" s="25" t="s">
        <v>73</v>
      </c>
      <c r="E12" s="26" t="s">
        <v>67</v>
      </c>
      <c r="F12" s="27">
        <v>6</v>
      </c>
    </row>
    <row r="13" ht="28.05" customHeight="1" spans="1:6">
      <c r="A13" s="22" t="s">
        <v>54</v>
      </c>
      <c r="B13" s="22" t="s">
        <v>54</v>
      </c>
      <c r="C13" s="22" t="s">
        <v>74</v>
      </c>
      <c r="D13" s="23" t="s">
        <v>75</v>
      </c>
      <c r="E13" s="15" t="s">
        <v>54</v>
      </c>
      <c r="F13" s="15">
        <v>2</v>
      </c>
    </row>
    <row r="14" ht="28.05" customHeight="1" spans="1:6">
      <c r="A14" s="22" t="s">
        <v>54</v>
      </c>
      <c r="B14" s="22" t="s">
        <v>76</v>
      </c>
      <c r="C14" s="22" t="s">
        <v>59</v>
      </c>
      <c r="D14" s="23" t="s">
        <v>77</v>
      </c>
      <c r="E14" s="15" t="s">
        <v>54</v>
      </c>
      <c r="F14" s="15">
        <v>2</v>
      </c>
    </row>
    <row r="15" ht="28.05" customHeight="1" spans="1:6">
      <c r="A15" s="22" t="s">
        <v>54</v>
      </c>
      <c r="B15" s="22" t="s">
        <v>54</v>
      </c>
      <c r="C15" s="22" t="s">
        <v>78</v>
      </c>
      <c r="D15" s="23" t="s">
        <v>79</v>
      </c>
      <c r="E15" s="15" t="s">
        <v>54</v>
      </c>
      <c r="F15" s="15">
        <v>3</v>
      </c>
    </row>
    <row r="16" ht="28.05" customHeight="1" spans="1:6">
      <c r="A16" s="22" t="s">
        <v>54</v>
      </c>
      <c r="B16" s="22" t="s">
        <v>54</v>
      </c>
      <c r="C16" s="22" t="s">
        <v>80</v>
      </c>
      <c r="D16" s="23" t="s">
        <v>81</v>
      </c>
      <c r="E16" s="15" t="s">
        <v>54</v>
      </c>
      <c r="F16" s="15">
        <v>3</v>
      </c>
    </row>
    <row r="17" ht="28.05" customHeight="1" spans="1:6">
      <c r="A17" s="24" t="s">
        <v>54</v>
      </c>
      <c r="B17" s="24" t="s">
        <v>54</v>
      </c>
      <c r="C17" s="24" t="s">
        <v>82</v>
      </c>
      <c r="D17" s="25" t="s">
        <v>83</v>
      </c>
      <c r="E17" s="26" t="s">
        <v>67</v>
      </c>
      <c r="F17" s="27">
        <v>6</v>
      </c>
    </row>
    <row r="18" ht="28.05" customHeight="1" spans="1:6">
      <c r="A18" s="24" t="s">
        <v>54</v>
      </c>
      <c r="B18" s="24" t="s">
        <v>54</v>
      </c>
      <c r="C18" s="24" t="s">
        <v>84</v>
      </c>
      <c r="D18" s="25" t="s">
        <v>85</v>
      </c>
      <c r="E18" s="26" t="s">
        <v>67</v>
      </c>
      <c r="F18" s="27">
        <v>6</v>
      </c>
    </row>
    <row r="19" ht="28.05" customHeight="1" spans="1:6">
      <c r="A19" s="24" t="s">
        <v>54</v>
      </c>
      <c r="B19" s="24" t="s">
        <v>54</v>
      </c>
      <c r="C19" s="24" t="s">
        <v>86</v>
      </c>
      <c r="D19" s="25" t="s">
        <v>87</v>
      </c>
      <c r="E19" s="26" t="s">
        <v>67</v>
      </c>
      <c r="F19" s="27">
        <v>6</v>
      </c>
    </row>
    <row r="20" ht="28.05" customHeight="1" spans="1:6">
      <c r="A20" s="24" t="s">
        <v>54</v>
      </c>
      <c r="B20" s="24" t="s">
        <v>54</v>
      </c>
      <c r="C20" s="24" t="s">
        <v>88</v>
      </c>
      <c r="D20" s="25" t="s">
        <v>89</v>
      </c>
      <c r="E20" s="26" t="s">
        <v>67</v>
      </c>
      <c r="F20" s="27">
        <v>5</v>
      </c>
    </row>
    <row r="21" ht="28.05" customHeight="1" spans="1:6">
      <c r="A21" s="22" t="s">
        <v>54</v>
      </c>
      <c r="B21" s="22" t="s">
        <v>90</v>
      </c>
      <c r="C21" s="22" t="s">
        <v>91</v>
      </c>
      <c r="D21" s="23" t="s">
        <v>92</v>
      </c>
      <c r="E21" s="15" t="s">
        <v>54</v>
      </c>
      <c r="F21" s="15">
        <v>2</v>
      </c>
    </row>
    <row r="22" ht="28.05" customHeight="1" spans="1:6">
      <c r="A22" s="22" t="s">
        <v>54</v>
      </c>
      <c r="B22" s="22" t="s">
        <v>54</v>
      </c>
      <c r="C22" s="22" t="s">
        <v>93</v>
      </c>
      <c r="D22" s="23" t="s">
        <v>94</v>
      </c>
      <c r="E22" s="15" t="s">
        <v>54</v>
      </c>
      <c r="F22" s="15">
        <v>2</v>
      </c>
    </row>
    <row r="23" ht="28.05" customHeight="1" spans="1:6">
      <c r="A23" s="22" t="s">
        <v>54</v>
      </c>
      <c r="B23" s="22" t="s">
        <v>54</v>
      </c>
      <c r="C23" s="22" t="s">
        <v>95</v>
      </c>
      <c r="D23" s="23" t="s">
        <v>96</v>
      </c>
      <c r="E23" s="15" t="s">
        <v>54</v>
      </c>
      <c r="F23" s="15">
        <v>2</v>
      </c>
    </row>
    <row r="24" ht="28.05" customHeight="1" spans="1:6">
      <c r="A24" s="22" t="s">
        <v>54</v>
      </c>
      <c r="B24" s="22" t="s">
        <v>54</v>
      </c>
      <c r="C24" s="22" t="s">
        <v>97</v>
      </c>
      <c r="D24" s="23" t="s">
        <v>98</v>
      </c>
      <c r="E24" s="15" t="s">
        <v>54</v>
      </c>
      <c r="F24" s="15">
        <v>2</v>
      </c>
    </row>
    <row r="25" ht="28.05" customHeight="1" spans="1:6">
      <c r="A25" s="22" t="s">
        <v>54</v>
      </c>
      <c r="B25" s="22" t="s">
        <v>54</v>
      </c>
      <c r="C25" s="22" t="s">
        <v>99</v>
      </c>
      <c r="D25" s="23" t="s">
        <v>100</v>
      </c>
      <c r="E25" s="15" t="s">
        <v>54</v>
      </c>
      <c r="F25" s="15">
        <v>2</v>
      </c>
    </row>
    <row r="26" ht="28.05" customHeight="1" spans="1:6">
      <c r="A26" s="22" t="s">
        <v>54</v>
      </c>
      <c r="B26" s="22" t="s">
        <v>54</v>
      </c>
      <c r="C26" s="22" t="s">
        <v>101</v>
      </c>
      <c r="D26" s="23" t="s">
        <v>102</v>
      </c>
      <c r="E26" s="15" t="s">
        <v>54</v>
      </c>
      <c r="F26" s="15">
        <v>2</v>
      </c>
    </row>
    <row r="27" ht="28.05" customHeight="1" spans="1:6">
      <c r="A27" s="22" t="s">
        <v>54</v>
      </c>
      <c r="B27" s="22" t="s">
        <v>54</v>
      </c>
      <c r="C27" s="22" t="s">
        <v>103</v>
      </c>
      <c r="D27" s="23" t="s">
        <v>104</v>
      </c>
      <c r="E27" s="15" t="s">
        <v>54</v>
      </c>
      <c r="F27" s="15">
        <v>2</v>
      </c>
    </row>
    <row r="28" ht="28.05" customHeight="1" spans="1:6">
      <c r="A28" s="22" t="s">
        <v>54</v>
      </c>
      <c r="B28" s="22" t="s">
        <v>54</v>
      </c>
      <c r="C28" s="22" t="s">
        <v>105</v>
      </c>
      <c r="D28" s="23" t="s">
        <v>106</v>
      </c>
      <c r="E28" s="15" t="s">
        <v>54</v>
      </c>
      <c r="F28" s="15">
        <v>3</v>
      </c>
    </row>
    <row r="29" ht="28.05" customHeight="1" spans="1:6">
      <c r="A29" s="22" t="s">
        <v>54</v>
      </c>
      <c r="B29" s="22" t="s">
        <v>54</v>
      </c>
      <c r="C29" s="22" t="s">
        <v>107</v>
      </c>
      <c r="D29" s="23" t="s">
        <v>108</v>
      </c>
      <c r="E29" s="15" t="s">
        <v>54</v>
      </c>
      <c r="F29" s="15">
        <v>2</v>
      </c>
    </row>
    <row r="30" ht="28.05" customHeight="1" spans="1:6">
      <c r="A30" s="22" t="s">
        <v>54</v>
      </c>
      <c r="B30" s="22" t="s">
        <v>54</v>
      </c>
      <c r="C30" s="22" t="s">
        <v>109</v>
      </c>
      <c r="D30" s="23" t="s">
        <v>110</v>
      </c>
      <c r="E30" s="15" t="s">
        <v>54</v>
      </c>
      <c r="F30" s="15">
        <v>4</v>
      </c>
    </row>
    <row r="31" ht="28.05" customHeight="1" spans="1:6">
      <c r="A31" s="22" t="s">
        <v>54</v>
      </c>
      <c r="B31" s="22" t="s">
        <v>54</v>
      </c>
      <c r="C31" s="22" t="s">
        <v>111</v>
      </c>
      <c r="D31" s="23" t="s">
        <v>112</v>
      </c>
      <c r="E31" s="15" t="s">
        <v>54</v>
      </c>
      <c r="F31" s="15">
        <v>5</v>
      </c>
    </row>
    <row r="32" ht="28.05" customHeight="1" spans="1:6">
      <c r="A32" s="24" t="s">
        <v>54</v>
      </c>
      <c r="B32" s="24" t="s">
        <v>113</v>
      </c>
      <c r="C32" s="24" t="s">
        <v>113</v>
      </c>
      <c r="D32" s="25" t="s">
        <v>114</v>
      </c>
      <c r="E32" s="26" t="s">
        <v>67</v>
      </c>
      <c r="F32" s="27">
        <v>5</v>
      </c>
    </row>
    <row r="33" ht="28.05" customHeight="1" spans="1:6">
      <c r="A33" s="22" t="s">
        <v>54</v>
      </c>
      <c r="B33" s="22" t="s">
        <v>54</v>
      </c>
      <c r="C33" s="22" t="s">
        <v>115</v>
      </c>
      <c r="D33" s="23" t="s">
        <v>116</v>
      </c>
      <c r="E33" s="15" t="s">
        <v>54</v>
      </c>
      <c r="F33" s="15">
        <v>2</v>
      </c>
    </row>
    <row r="34" ht="28.05" customHeight="1" spans="1:6">
      <c r="A34" s="22" t="s">
        <v>54</v>
      </c>
      <c r="B34" s="22" t="s">
        <v>54</v>
      </c>
      <c r="C34" s="22" t="s">
        <v>117</v>
      </c>
      <c r="D34" s="23" t="s">
        <v>118</v>
      </c>
      <c r="E34" s="15" t="s">
        <v>54</v>
      </c>
      <c r="F34" s="15">
        <v>3</v>
      </c>
    </row>
    <row r="35" ht="28.05" customHeight="1" spans="1:6">
      <c r="A35" s="22" t="s">
        <v>54</v>
      </c>
      <c r="B35" s="22" t="s">
        <v>54</v>
      </c>
      <c r="C35" s="22" t="s">
        <v>119</v>
      </c>
      <c r="D35" s="23" t="s">
        <v>120</v>
      </c>
      <c r="E35" s="15" t="s">
        <v>54</v>
      </c>
      <c r="F35" s="15">
        <v>2</v>
      </c>
    </row>
    <row r="36" ht="28.05" customHeight="1" spans="1:6">
      <c r="A36" s="22" t="s">
        <v>54</v>
      </c>
      <c r="B36" s="22" t="s">
        <v>121</v>
      </c>
      <c r="C36" s="22" t="s">
        <v>122</v>
      </c>
      <c r="D36" s="23" t="s">
        <v>123</v>
      </c>
      <c r="E36" s="15" t="s">
        <v>54</v>
      </c>
      <c r="F36" s="15">
        <v>2</v>
      </c>
    </row>
    <row r="37" ht="28.05" customHeight="1" spans="1:6">
      <c r="A37" s="22" t="s">
        <v>54</v>
      </c>
      <c r="B37" s="22" t="s">
        <v>54</v>
      </c>
      <c r="C37" s="22" t="s">
        <v>124</v>
      </c>
      <c r="D37" s="23" t="s">
        <v>125</v>
      </c>
      <c r="E37" s="15" t="s">
        <v>54</v>
      </c>
      <c r="F37" s="15">
        <v>3</v>
      </c>
    </row>
    <row r="38" ht="28.05" customHeight="1" spans="1:6">
      <c r="A38" s="22" t="s">
        <v>54</v>
      </c>
      <c r="B38" s="22" t="s">
        <v>54</v>
      </c>
      <c r="C38" s="22" t="s">
        <v>126</v>
      </c>
      <c r="D38" s="23" t="s">
        <v>127</v>
      </c>
      <c r="E38" s="15" t="s">
        <v>54</v>
      </c>
      <c r="F38" s="15">
        <v>3</v>
      </c>
    </row>
    <row r="39" ht="28.05" customHeight="1" spans="1:6">
      <c r="A39" s="22" t="s">
        <v>54</v>
      </c>
      <c r="B39" s="22" t="s">
        <v>54</v>
      </c>
      <c r="C39" s="22" t="s">
        <v>128</v>
      </c>
      <c r="D39" s="23" t="s">
        <v>129</v>
      </c>
      <c r="E39" s="15" t="s">
        <v>54</v>
      </c>
      <c r="F39" s="15">
        <v>2</v>
      </c>
    </row>
    <row r="40" ht="28.05" customHeight="1" spans="1:6">
      <c r="A40" s="22" t="s">
        <v>54</v>
      </c>
      <c r="B40" s="22" t="s">
        <v>54</v>
      </c>
      <c r="C40" s="22" t="s">
        <v>130</v>
      </c>
      <c r="D40" s="23" t="s">
        <v>131</v>
      </c>
      <c r="E40" s="15" t="s">
        <v>54</v>
      </c>
      <c r="F40" s="15">
        <v>2</v>
      </c>
    </row>
    <row r="41" ht="28.05" customHeight="1" spans="1:6">
      <c r="A41" s="22" t="s">
        <v>54</v>
      </c>
      <c r="B41" s="22" t="s">
        <v>132</v>
      </c>
      <c r="C41" s="22" t="s">
        <v>133</v>
      </c>
      <c r="D41" s="23" t="s">
        <v>134</v>
      </c>
      <c r="E41" s="15" t="s">
        <v>54</v>
      </c>
      <c r="F41" s="15">
        <v>3</v>
      </c>
    </row>
    <row r="42" ht="28.05" customHeight="1" spans="1:6">
      <c r="A42" s="22" t="s">
        <v>54</v>
      </c>
      <c r="B42" s="22" t="s">
        <v>54</v>
      </c>
      <c r="C42" s="22" t="s">
        <v>135</v>
      </c>
      <c r="D42" s="23" t="s">
        <v>136</v>
      </c>
      <c r="E42" s="15" t="s">
        <v>54</v>
      </c>
      <c r="F42" s="15">
        <v>2</v>
      </c>
    </row>
    <row r="43" ht="14.6" spans="1:6">
      <c r="A43" s="28" t="s">
        <v>137</v>
      </c>
      <c r="B43" s="29"/>
      <c r="C43" s="29"/>
      <c r="D43" s="29"/>
      <c r="E43" s="30"/>
      <c r="F43" s="28">
        <f>SUM(F3:F42)</f>
        <v>132</v>
      </c>
    </row>
    <row r="44" ht="28.05" customHeight="1" spans="1:6">
      <c r="A44" s="31" t="s">
        <v>138</v>
      </c>
      <c r="B44" s="31" t="s">
        <v>139</v>
      </c>
      <c r="C44" s="31" t="s">
        <v>140</v>
      </c>
      <c r="D44" s="23" t="s">
        <v>141</v>
      </c>
      <c r="E44" s="15" t="s">
        <v>54</v>
      </c>
      <c r="F44" s="15">
        <v>2</v>
      </c>
    </row>
    <row r="45" ht="28.05" customHeight="1" spans="1:6">
      <c r="A45" s="31" t="s">
        <v>54</v>
      </c>
      <c r="B45" s="31" t="s">
        <v>54</v>
      </c>
      <c r="C45" s="31" t="s">
        <v>142</v>
      </c>
      <c r="D45" s="23" t="s">
        <v>143</v>
      </c>
      <c r="E45" s="15" t="s">
        <v>54</v>
      </c>
      <c r="F45" s="15">
        <v>1</v>
      </c>
    </row>
    <row r="46" ht="28.05" customHeight="1" spans="1:6">
      <c r="A46" s="31" t="s">
        <v>54</v>
      </c>
      <c r="B46" s="31" t="s">
        <v>54</v>
      </c>
      <c r="C46" s="31" t="s">
        <v>144</v>
      </c>
      <c r="D46" s="23" t="s">
        <v>145</v>
      </c>
      <c r="E46" s="15" t="s">
        <v>54</v>
      </c>
      <c r="F46" s="15">
        <v>1</v>
      </c>
    </row>
    <row r="47" ht="28.05" customHeight="1" spans="1:6">
      <c r="A47" s="31" t="s">
        <v>54</v>
      </c>
      <c r="B47" s="31" t="s">
        <v>54</v>
      </c>
      <c r="C47" s="31" t="s">
        <v>146</v>
      </c>
      <c r="D47" s="23" t="s">
        <v>147</v>
      </c>
      <c r="E47" s="15" t="s">
        <v>54</v>
      </c>
      <c r="F47" s="15">
        <v>1</v>
      </c>
    </row>
    <row r="48" ht="28.05" customHeight="1" spans="1:6">
      <c r="A48" s="31" t="s">
        <v>54</v>
      </c>
      <c r="B48" s="31" t="s">
        <v>54</v>
      </c>
      <c r="C48" s="31" t="s">
        <v>148</v>
      </c>
      <c r="D48" s="23" t="s">
        <v>149</v>
      </c>
      <c r="E48" s="15" t="s">
        <v>54</v>
      </c>
      <c r="F48" s="15">
        <v>2</v>
      </c>
    </row>
    <row r="49" ht="28.05" customHeight="1" spans="1:6">
      <c r="A49" s="31" t="s">
        <v>54</v>
      </c>
      <c r="B49" s="31" t="s">
        <v>54</v>
      </c>
      <c r="C49" s="31" t="s">
        <v>150</v>
      </c>
      <c r="D49" s="23" t="s">
        <v>151</v>
      </c>
      <c r="E49" s="15" t="s">
        <v>54</v>
      </c>
      <c r="F49" s="15">
        <v>1</v>
      </c>
    </row>
    <row r="50" ht="28.05" customHeight="1" spans="1:6">
      <c r="A50" s="31" t="s">
        <v>54</v>
      </c>
      <c r="B50" s="31" t="s">
        <v>54</v>
      </c>
      <c r="C50" s="31" t="s">
        <v>152</v>
      </c>
      <c r="D50" s="23" t="s">
        <v>153</v>
      </c>
      <c r="E50" s="15" t="s">
        <v>54</v>
      </c>
      <c r="F50" s="15">
        <v>1</v>
      </c>
    </row>
    <row r="51" ht="28.05" customHeight="1" spans="1:6">
      <c r="A51" s="31" t="s">
        <v>54</v>
      </c>
      <c r="B51" s="31" t="s">
        <v>54</v>
      </c>
      <c r="C51" s="31" t="s">
        <v>154</v>
      </c>
      <c r="D51" s="23" t="s">
        <v>155</v>
      </c>
      <c r="E51" s="15" t="s">
        <v>54</v>
      </c>
      <c r="F51" s="15">
        <v>1</v>
      </c>
    </row>
    <row r="52" ht="28.05" customHeight="1" spans="1:6">
      <c r="A52" s="31" t="s">
        <v>54</v>
      </c>
      <c r="B52" s="31" t="s">
        <v>156</v>
      </c>
      <c r="C52" s="31" t="s">
        <v>140</v>
      </c>
      <c r="D52" s="23" t="s">
        <v>157</v>
      </c>
      <c r="E52" s="15" t="s">
        <v>54</v>
      </c>
      <c r="F52" s="15">
        <v>2</v>
      </c>
    </row>
    <row r="53" ht="28.05" customHeight="1" spans="1:6">
      <c r="A53" s="31" t="s">
        <v>54</v>
      </c>
      <c r="B53" s="31" t="s">
        <v>54</v>
      </c>
      <c r="C53" s="31" t="s">
        <v>158</v>
      </c>
      <c r="D53" s="23" t="s">
        <v>159</v>
      </c>
      <c r="E53" s="15" t="s">
        <v>54</v>
      </c>
      <c r="F53" s="15">
        <v>1</v>
      </c>
    </row>
    <row r="54" ht="28.05" customHeight="1" spans="1:6">
      <c r="A54" s="31" t="s">
        <v>54</v>
      </c>
      <c r="B54" s="31" t="s">
        <v>54</v>
      </c>
      <c r="C54" s="31" t="s">
        <v>160</v>
      </c>
      <c r="D54" s="23" t="s">
        <v>161</v>
      </c>
      <c r="E54" s="15" t="s">
        <v>54</v>
      </c>
      <c r="F54" s="15">
        <v>1</v>
      </c>
    </row>
    <row r="55" ht="28.05" customHeight="1" spans="1:6">
      <c r="A55" s="31" t="s">
        <v>54</v>
      </c>
      <c r="B55" s="31" t="s">
        <v>54</v>
      </c>
      <c r="C55" s="31" t="s">
        <v>162</v>
      </c>
      <c r="D55" s="23" t="s">
        <v>163</v>
      </c>
      <c r="E55" s="15" t="s">
        <v>54</v>
      </c>
      <c r="F55" s="15">
        <v>1</v>
      </c>
    </row>
    <row r="56" ht="28.05" customHeight="1" spans="1:6">
      <c r="A56" s="31" t="s">
        <v>54</v>
      </c>
      <c r="B56" s="31" t="s">
        <v>54</v>
      </c>
      <c r="C56" s="31" t="s">
        <v>164</v>
      </c>
      <c r="D56" s="23" t="s">
        <v>165</v>
      </c>
      <c r="E56" s="15" t="s">
        <v>54</v>
      </c>
      <c r="F56" s="15">
        <v>2</v>
      </c>
    </row>
    <row r="57" ht="28.05" customHeight="1" spans="1:6">
      <c r="A57" s="31" t="s">
        <v>54</v>
      </c>
      <c r="B57" s="31" t="s">
        <v>54</v>
      </c>
      <c r="C57" s="31" t="s">
        <v>166</v>
      </c>
      <c r="D57" s="23" t="s">
        <v>167</v>
      </c>
      <c r="E57" s="15" t="s">
        <v>54</v>
      </c>
      <c r="F57" s="15">
        <v>1</v>
      </c>
    </row>
    <row r="58" ht="28.05" customHeight="1" spans="1:6">
      <c r="A58" s="31" t="s">
        <v>54</v>
      </c>
      <c r="B58" s="31" t="s">
        <v>54</v>
      </c>
      <c r="C58" s="31" t="s">
        <v>168</v>
      </c>
      <c r="D58" s="23" t="s">
        <v>169</v>
      </c>
      <c r="E58" s="15" t="s">
        <v>54</v>
      </c>
      <c r="F58" s="15">
        <v>1</v>
      </c>
    </row>
    <row r="59" ht="28.05" customHeight="1" spans="1:6">
      <c r="A59" s="31" t="s">
        <v>54</v>
      </c>
      <c r="B59" s="31" t="s">
        <v>54</v>
      </c>
      <c r="C59" s="31" t="s">
        <v>170</v>
      </c>
      <c r="D59" s="23" t="s">
        <v>171</v>
      </c>
      <c r="E59" s="15" t="s">
        <v>54</v>
      </c>
      <c r="F59" s="15">
        <v>1</v>
      </c>
    </row>
    <row r="60" ht="28.05" customHeight="1" spans="1:6">
      <c r="A60" s="31" t="s">
        <v>54</v>
      </c>
      <c r="B60" s="31" t="s">
        <v>54</v>
      </c>
      <c r="C60" s="31" t="s">
        <v>172</v>
      </c>
      <c r="D60" s="23" t="s">
        <v>173</v>
      </c>
      <c r="E60" s="15" t="s">
        <v>54</v>
      </c>
      <c r="F60" s="15">
        <v>1</v>
      </c>
    </row>
    <row r="61" ht="28.05" customHeight="1" spans="1:6">
      <c r="A61" s="31" t="s">
        <v>54</v>
      </c>
      <c r="B61" s="31" t="s">
        <v>54</v>
      </c>
      <c r="C61" s="31" t="s">
        <v>174</v>
      </c>
      <c r="D61" s="23" t="s">
        <v>175</v>
      </c>
      <c r="E61" s="15" t="s">
        <v>54</v>
      </c>
      <c r="F61" s="15">
        <v>1</v>
      </c>
    </row>
    <row r="62" ht="14.6" spans="1:6">
      <c r="A62" s="28" t="s">
        <v>176</v>
      </c>
      <c r="B62" s="29"/>
      <c r="C62" s="29"/>
      <c r="D62" s="29"/>
      <c r="E62" s="30"/>
      <c r="F62" s="28">
        <f>SUM(F44:F61)</f>
        <v>22</v>
      </c>
    </row>
    <row r="63" ht="28.05" customHeight="1" spans="1:6">
      <c r="A63" s="32" t="s">
        <v>177</v>
      </c>
      <c r="B63" s="32" t="s">
        <v>178</v>
      </c>
      <c r="C63" s="32" t="s">
        <v>178</v>
      </c>
      <c r="D63" s="23" t="s">
        <v>179</v>
      </c>
      <c r="E63" s="15" t="s">
        <v>54</v>
      </c>
      <c r="F63" s="15">
        <v>2</v>
      </c>
    </row>
    <row r="64" ht="28.05" customHeight="1" spans="1:6">
      <c r="A64" s="33" t="s">
        <v>54</v>
      </c>
      <c r="B64" s="33" t="s">
        <v>180</v>
      </c>
      <c r="C64" s="33" t="s">
        <v>181</v>
      </c>
      <c r="D64" s="25" t="s">
        <v>182</v>
      </c>
      <c r="E64" s="26" t="s">
        <v>67</v>
      </c>
      <c r="F64" s="27">
        <v>4</v>
      </c>
    </row>
    <row r="65" ht="28.05" customHeight="1" spans="1:6">
      <c r="A65" s="32" t="s">
        <v>54</v>
      </c>
      <c r="B65" s="32" t="s">
        <v>54</v>
      </c>
      <c r="C65" s="32" t="s">
        <v>183</v>
      </c>
      <c r="D65" s="23" t="s">
        <v>184</v>
      </c>
      <c r="E65" s="15" t="s">
        <v>54</v>
      </c>
      <c r="F65" s="15">
        <v>2</v>
      </c>
    </row>
    <row r="66" ht="28.05" customHeight="1" spans="1:6">
      <c r="A66" s="33" t="s">
        <v>54</v>
      </c>
      <c r="B66" s="33" t="s">
        <v>185</v>
      </c>
      <c r="C66" s="33" t="s">
        <v>186</v>
      </c>
      <c r="D66" s="25" t="s">
        <v>187</v>
      </c>
      <c r="E66" s="26" t="s">
        <v>67</v>
      </c>
      <c r="F66" s="27">
        <v>3</v>
      </c>
    </row>
    <row r="67" ht="28.05" customHeight="1" spans="1:6">
      <c r="A67" s="33" t="s">
        <v>54</v>
      </c>
      <c r="B67" s="33" t="s">
        <v>54</v>
      </c>
      <c r="C67" s="33" t="s">
        <v>188</v>
      </c>
      <c r="D67" s="25" t="s">
        <v>189</v>
      </c>
      <c r="E67" s="26" t="s">
        <v>67</v>
      </c>
      <c r="F67" s="27">
        <v>3</v>
      </c>
    </row>
    <row r="68" ht="28.05" customHeight="1" spans="1:6">
      <c r="A68" s="32" t="s">
        <v>54</v>
      </c>
      <c r="B68" s="32" t="s">
        <v>190</v>
      </c>
      <c r="C68" s="32" t="s">
        <v>191</v>
      </c>
      <c r="D68" s="23" t="s">
        <v>192</v>
      </c>
      <c r="E68" s="15" t="s">
        <v>54</v>
      </c>
      <c r="F68" s="15">
        <v>3</v>
      </c>
    </row>
    <row r="69" ht="28.05" customHeight="1" spans="1:6">
      <c r="A69" s="32" t="s">
        <v>54</v>
      </c>
      <c r="B69" s="32" t="s">
        <v>54</v>
      </c>
      <c r="C69" s="32" t="s">
        <v>193</v>
      </c>
      <c r="D69" s="23" t="s">
        <v>194</v>
      </c>
      <c r="E69" s="15" t="s">
        <v>54</v>
      </c>
      <c r="F69" s="15">
        <v>3</v>
      </c>
    </row>
    <row r="70" ht="28.05" customHeight="1" spans="1:6">
      <c r="A70" s="32" t="s">
        <v>54</v>
      </c>
      <c r="B70" s="32" t="s">
        <v>54</v>
      </c>
      <c r="C70" s="32" t="s">
        <v>195</v>
      </c>
      <c r="D70" s="23" t="s">
        <v>196</v>
      </c>
      <c r="E70" s="15" t="s">
        <v>54</v>
      </c>
      <c r="F70" s="15">
        <v>3</v>
      </c>
    </row>
    <row r="71" ht="28.05" customHeight="1" spans="1:6">
      <c r="A71" s="32" t="s">
        <v>54</v>
      </c>
      <c r="B71" s="32" t="s">
        <v>197</v>
      </c>
      <c r="C71" s="32" t="s">
        <v>197</v>
      </c>
      <c r="D71" s="23" t="s">
        <v>198</v>
      </c>
      <c r="E71" s="15" t="s">
        <v>54</v>
      </c>
      <c r="F71" s="15">
        <v>2</v>
      </c>
    </row>
    <row r="72" ht="28.05" customHeight="1" spans="1:6">
      <c r="A72" s="32" t="s">
        <v>54</v>
      </c>
      <c r="B72" s="32" t="s">
        <v>54</v>
      </c>
      <c r="C72" s="32" t="s">
        <v>199</v>
      </c>
      <c r="D72" s="23" t="s">
        <v>200</v>
      </c>
      <c r="E72" s="15" t="s">
        <v>54</v>
      </c>
      <c r="F72" s="15">
        <v>2</v>
      </c>
    </row>
    <row r="73" ht="28.05" customHeight="1" spans="1:6">
      <c r="A73" s="32" t="s">
        <v>54</v>
      </c>
      <c r="B73" s="32" t="s">
        <v>54</v>
      </c>
      <c r="C73" s="32" t="s">
        <v>201</v>
      </c>
      <c r="D73" s="23" t="s">
        <v>202</v>
      </c>
      <c r="E73" s="15" t="s">
        <v>54</v>
      </c>
      <c r="F73" s="15">
        <v>2</v>
      </c>
    </row>
    <row r="74" ht="28.05" customHeight="1" spans="1:6">
      <c r="A74" s="32" t="s">
        <v>54</v>
      </c>
      <c r="B74" s="32" t="s">
        <v>54</v>
      </c>
      <c r="C74" s="32" t="s">
        <v>203</v>
      </c>
      <c r="D74" s="23" t="s">
        <v>204</v>
      </c>
      <c r="E74" s="15" t="s">
        <v>54</v>
      </c>
      <c r="F74" s="15">
        <v>2</v>
      </c>
    </row>
    <row r="75" ht="28.05" customHeight="1" spans="1:6">
      <c r="A75" s="32" t="s">
        <v>54</v>
      </c>
      <c r="B75" s="32" t="s">
        <v>205</v>
      </c>
      <c r="C75" s="32" t="s">
        <v>206</v>
      </c>
      <c r="D75" s="23" t="s">
        <v>207</v>
      </c>
      <c r="E75" s="15" t="s">
        <v>54</v>
      </c>
      <c r="F75" s="15">
        <v>2</v>
      </c>
    </row>
    <row r="76" ht="28.05" customHeight="1" spans="1:6">
      <c r="A76" s="32" t="s">
        <v>54</v>
      </c>
      <c r="B76" s="32" t="s">
        <v>208</v>
      </c>
      <c r="C76" s="32" t="s">
        <v>209</v>
      </c>
      <c r="D76" s="23" t="s">
        <v>210</v>
      </c>
      <c r="E76" s="15" t="s">
        <v>54</v>
      </c>
      <c r="F76" s="15">
        <v>2</v>
      </c>
    </row>
    <row r="77" ht="28.05" customHeight="1" spans="1:6">
      <c r="A77" s="32" t="s">
        <v>54</v>
      </c>
      <c r="B77" s="32" t="s">
        <v>211</v>
      </c>
      <c r="C77" s="32" t="s">
        <v>212</v>
      </c>
      <c r="D77" s="23" t="s">
        <v>213</v>
      </c>
      <c r="E77" s="15" t="s">
        <v>54</v>
      </c>
      <c r="F77" s="15">
        <v>2</v>
      </c>
    </row>
    <row r="78" ht="28.05" customHeight="1" spans="1:6">
      <c r="A78" s="32" t="s">
        <v>54</v>
      </c>
      <c r="B78" s="32" t="s">
        <v>54</v>
      </c>
      <c r="C78" s="32" t="s">
        <v>214</v>
      </c>
      <c r="D78" s="23" t="s">
        <v>215</v>
      </c>
      <c r="E78" s="15" t="s">
        <v>54</v>
      </c>
      <c r="F78" s="15">
        <v>2</v>
      </c>
    </row>
    <row r="79" ht="28.05" customHeight="1" spans="1:6">
      <c r="A79" s="32" t="s">
        <v>54</v>
      </c>
      <c r="B79" s="32" t="s">
        <v>54</v>
      </c>
      <c r="C79" s="32" t="s">
        <v>216</v>
      </c>
      <c r="D79" s="23" t="s">
        <v>217</v>
      </c>
      <c r="E79" s="15" t="s">
        <v>54</v>
      </c>
      <c r="F79" s="15">
        <v>2</v>
      </c>
    </row>
    <row r="80" ht="28.05" customHeight="1" spans="1:6">
      <c r="A80" s="32" t="s">
        <v>54</v>
      </c>
      <c r="B80" s="32" t="s">
        <v>54</v>
      </c>
      <c r="C80" s="32" t="s">
        <v>218</v>
      </c>
      <c r="D80" s="23" t="s">
        <v>219</v>
      </c>
      <c r="E80" s="15" t="s">
        <v>54</v>
      </c>
      <c r="F80" s="15">
        <v>3</v>
      </c>
    </row>
    <row r="81" ht="28.05" customHeight="1" spans="1:6">
      <c r="A81" s="32" t="s">
        <v>54</v>
      </c>
      <c r="B81" s="32" t="s">
        <v>54</v>
      </c>
      <c r="C81" s="32" t="s">
        <v>220</v>
      </c>
      <c r="D81" s="23" t="s">
        <v>221</v>
      </c>
      <c r="E81" s="15" t="s">
        <v>54</v>
      </c>
      <c r="F81" s="15">
        <v>2</v>
      </c>
    </row>
    <row r="82" ht="14.6" spans="1:6">
      <c r="A82" s="28" t="s">
        <v>222</v>
      </c>
      <c r="B82" s="29"/>
      <c r="C82" s="29"/>
      <c r="D82" s="29"/>
      <c r="E82" s="30"/>
      <c r="F82" s="28">
        <f>SUM(F63:F81)</f>
        <v>46</v>
      </c>
    </row>
    <row r="83" ht="28.05" customHeight="1" spans="1:6">
      <c r="A83" s="32" t="s">
        <v>223</v>
      </c>
      <c r="B83" s="32" t="s">
        <v>224</v>
      </c>
      <c r="C83" s="32" t="s">
        <v>225</v>
      </c>
      <c r="D83" s="23" t="s">
        <v>226</v>
      </c>
      <c r="E83" s="15" t="s">
        <v>227</v>
      </c>
      <c r="F83" s="15">
        <v>5</v>
      </c>
    </row>
    <row r="84" ht="34.95" customHeight="1" spans="1:6">
      <c r="A84" s="32" t="s">
        <v>54</v>
      </c>
      <c r="B84" s="32" t="s">
        <v>224</v>
      </c>
      <c r="C84" s="32" t="s">
        <v>228</v>
      </c>
      <c r="D84" s="23" t="s">
        <v>229</v>
      </c>
      <c r="E84" s="15" t="s">
        <v>227</v>
      </c>
      <c r="F84" s="15">
        <v>15</v>
      </c>
    </row>
    <row r="85" ht="15.35" spans="1:6">
      <c r="A85" s="28" t="s">
        <v>230</v>
      </c>
      <c r="B85" s="29"/>
      <c r="C85" s="29"/>
      <c r="D85" s="29"/>
      <c r="E85" s="30"/>
      <c r="F85" s="28">
        <f>SUM(F83:F84)</f>
        <v>20</v>
      </c>
    </row>
    <row r="86" ht="17.6" spans="1:6">
      <c r="A86" s="34" t="s">
        <v>231</v>
      </c>
      <c r="B86" s="35"/>
      <c r="C86" s="35"/>
      <c r="D86" s="35"/>
      <c r="E86" s="36"/>
      <c r="F86" s="34">
        <f>F43+F62+F82+F85</f>
        <v>220</v>
      </c>
    </row>
  </sheetData>
  <mergeCells count="6">
    <mergeCell ref="A1:F1"/>
    <mergeCell ref="A43:E43"/>
    <mergeCell ref="A62:E62"/>
    <mergeCell ref="A82:E82"/>
    <mergeCell ref="A85:E85"/>
    <mergeCell ref="A86:E8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2" sqref="A2:F2"/>
    </sheetView>
  </sheetViews>
  <sheetFormatPr defaultColWidth="9" defaultRowHeight="13.5" outlineLevelCol="5"/>
  <cols>
    <col min="1" max="1" width="20" customWidth="1"/>
    <col min="2" max="2" width="18.4424778761062" customWidth="1"/>
    <col min="3" max="3" width="15.1061946902655" customWidth="1"/>
    <col min="4" max="4" width="15.3362831858407" customWidth="1"/>
    <col min="5" max="6" width="14" customWidth="1"/>
  </cols>
  <sheetData>
    <row r="1" ht="40.05" customHeight="1" spans="1:6">
      <c r="A1" s="13" t="s">
        <v>232</v>
      </c>
    </row>
    <row r="2" ht="34.95" customHeight="1" spans="1:6">
      <c r="A2" s="14" t="s">
        <v>233</v>
      </c>
      <c r="B2" s="14" t="s">
        <v>234</v>
      </c>
      <c r="C2" s="14" t="s">
        <v>235</v>
      </c>
      <c r="D2" s="14" t="s">
        <v>236</v>
      </c>
      <c r="E2" s="14" t="s">
        <v>237</v>
      </c>
      <c r="F2" s="14" t="s">
        <v>238</v>
      </c>
    </row>
    <row r="3" ht="30" customHeight="1" spans="1:6">
      <c r="A3" s="15" t="s">
        <v>239</v>
      </c>
      <c r="B3" s="15">
        <v>40</v>
      </c>
      <c r="C3" s="15">
        <v>10</v>
      </c>
      <c r="D3" s="15">
        <v>10</v>
      </c>
      <c r="E3" s="15">
        <f>SUM(B3:D3)</f>
        <v>60</v>
      </c>
      <c r="F3" s="16">
        <v>1</v>
      </c>
    </row>
    <row r="4" ht="30" customHeight="1" spans="1:6">
      <c r="A4" s="15" t="s">
        <v>23</v>
      </c>
      <c r="B4" s="15">
        <v>48</v>
      </c>
      <c r="C4" s="15">
        <v>0</v>
      </c>
      <c r="D4" s="15">
        <v>0</v>
      </c>
      <c r="E4" s="15">
        <f>SUM(B4:D4)</f>
        <v>48</v>
      </c>
      <c r="F4" s="16">
        <v>1</v>
      </c>
    </row>
    <row r="5" customFormat="1" ht="30" customHeight="1" spans="1:6">
      <c r="A5" s="15" t="s">
        <v>23</v>
      </c>
      <c r="B5" s="15">
        <v>0</v>
      </c>
      <c r="C5" s="15">
        <v>40</v>
      </c>
      <c r="D5" s="15">
        <v>8</v>
      </c>
      <c r="E5" s="15">
        <f>SUM(B5:D5)</f>
        <v>48</v>
      </c>
      <c r="F5" s="16">
        <v>1</v>
      </c>
    </row>
    <row r="6" ht="30" customHeight="1" spans="1:6">
      <c r="A6" s="15" t="s">
        <v>28</v>
      </c>
      <c r="B6" s="15">
        <v>20</v>
      </c>
      <c r="C6" s="15">
        <v>5</v>
      </c>
      <c r="D6" s="15">
        <v>5</v>
      </c>
      <c r="E6" s="15">
        <f>SUM(B6:D6)</f>
        <v>30</v>
      </c>
      <c r="F6" s="16">
        <v>0.75</v>
      </c>
    </row>
    <row r="7" ht="30" customHeight="1" spans="1:6">
      <c r="A7" s="15" t="s">
        <v>31</v>
      </c>
      <c r="B7" s="15">
        <v>17</v>
      </c>
      <c r="C7" s="15">
        <v>12</v>
      </c>
      <c r="D7" s="15">
        <v>5</v>
      </c>
      <c r="E7" s="15">
        <f>SUM(B7:D7)</f>
        <v>34</v>
      </c>
      <c r="F7" s="16">
        <v>0.8</v>
      </c>
    </row>
    <row r="8" ht="34.95" customHeight="1" spans="1:6">
      <c r="A8" s="17" t="s">
        <v>33</v>
      </c>
      <c r="B8" s="17">
        <f>SUM(B3:B7)</f>
        <v>125</v>
      </c>
      <c r="C8" s="17">
        <f>SUM(C3:C7)</f>
        <v>67</v>
      </c>
      <c r="D8" s="17">
        <f>SUM(D3:D7)</f>
        <v>28</v>
      </c>
      <c r="E8" s="17">
        <f>SUM(E3:E7)</f>
        <v>220</v>
      </c>
      <c r="F8" s="18"/>
    </row>
    <row r="10" ht="22.05" customHeight="1" spans="1:6">
      <c r="A10" s="19" t="s">
        <v>240</v>
      </c>
    </row>
    <row r="11" ht="22.05" customHeight="1" spans="1:6">
      <c r="A11" s="20" t="s">
        <v>241</v>
      </c>
    </row>
    <row r="12" ht="22.05" customHeight="1" spans="1:6">
      <c r="A12" s="20" t="s">
        <v>242</v>
      </c>
    </row>
    <row r="13" ht="22.05" customHeight="1" spans="1:6">
      <c r="A13" s="20" t="s">
        <v>243</v>
      </c>
    </row>
    <row r="14" ht="22.05" customHeight="1" spans="1:6">
      <c r="A14" s="20" t="s">
        <v>244</v>
      </c>
    </row>
  </sheetData>
  <mergeCells count="6">
    <mergeCell ref="A1:F1"/>
    <mergeCell ref="A10:F10"/>
    <mergeCell ref="A11:F11"/>
    <mergeCell ref="A12:F12"/>
    <mergeCell ref="A13:F13"/>
    <mergeCell ref="A14:F1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C8" sqref="C8"/>
    </sheetView>
  </sheetViews>
  <sheetFormatPr defaultColWidth="9" defaultRowHeight="13.5" outlineLevelCol="7"/>
  <cols>
    <col min="1" max="1" width="9.55752212389381" style="1" customWidth="1"/>
    <col min="2" max="2" width="14.1061946902655" style="1" customWidth="1"/>
    <col min="3" max="3" width="66.1061946902655" style="1" customWidth="1"/>
    <col min="4" max="4" width="5.55752212389381" style="1" customWidth="1"/>
    <col min="5" max="5" width="8" style="1" customWidth="1"/>
    <col min="6" max="6" width="5.04424778761062" style="1" customWidth="1"/>
    <col min="7" max="7" width="9.45132743362832" style="1" customWidth="1"/>
    <col min="8" max="8" width="8.16814159292035" style="1" customWidth="1"/>
    <col min="9" max="16384" width="9" style="1"/>
  </cols>
  <sheetData>
    <row r="1" ht="22.85" spans="1:8">
      <c r="A1" s="2" t="s">
        <v>245</v>
      </c>
      <c r="B1" s="2"/>
      <c r="C1" s="2"/>
      <c r="D1" s="2"/>
      <c r="E1" s="2"/>
      <c r="F1" s="2"/>
      <c r="G1" s="2"/>
      <c r="H1" s="2"/>
    </row>
    <row r="2" ht="26" customHeight="1" spans="1:8">
      <c r="A2" s="3" t="s">
        <v>246</v>
      </c>
      <c r="B2" s="4"/>
      <c r="C2" s="4"/>
      <c r="D2" s="4"/>
      <c r="E2" s="4"/>
      <c r="F2" s="4"/>
      <c r="G2" s="4"/>
      <c r="H2" s="4"/>
    </row>
    <row r="3" ht="38" customHeight="1" spans="1:8">
      <c r="A3" s="5" t="s">
        <v>247</v>
      </c>
      <c r="B3" s="5" t="s">
        <v>248</v>
      </c>
      <c r="C3" s="5" t="s">
        <v>249</v>
      </c>
      <c r="D3" s="5" t="s">
        <v>250</v>
      </c>
      <c r="E3" s="5" t="s">
        <v>251</v>
      </c>
      <c r="F3" s="5" t="s">
        <v>252</v>
      </c>
      <c r="G3" s="5" t="s">
        <v>253</v>
      </c>
      <c r="H3" s="5" t="s">
        <v>48</v>
      </c>
    </row>
    <row r="4" ht="27" customHeight="1" spans="1:8">
      <c r="A4" s="6" t="s">
        <v>254</v>
      </c>
      <c r="B4" s="6" t="s">
        <v>255</v>
      </c>
      <c r="C4" s="7" t="s">
        <v>256</v>
      </c>
      <c r="D4" s="7" t="s">
        <v>257</v>
      </c>
      <c r="E4" s="7">
        <v>2</v>
      </c>
      <c r="F4" s="7">
        <v>2</v>
      </c>
      <c r="G4" s="7">
        <f t="shared" ref="G4:G8" si="0">F4*E4</f>
        <v>4</v>
      </c>
      <c r="H4" s="7"/>
    </row>
    <row r="5" ht="24" customHeight="1" spans="1:8">
      <c r="A5" s="6"/>
      <c r="B5" s="6" t="s">
        <v>258</v>
      </c>
      <c r="C5" s="7" t="s">
        <v>259</v>
      </c>
      <c r="D5" s="7" t="s">
        <v>257</v>
      </c>
      <c r="E5" s="7">
        <v>1</v>
      </c>
      <c r="F5" s="7">
        <v>2</v>
      </c>
      <c r="G5" s="7">
        <f t="shared" si="0"/>
        <v>2</v>
      </c>
      <c r="H5" s="7"/>
    </row>
    <row r="6" ht="28" customHeight="1" spans="1:8">
      <c r="A6" s="6"/>
      <c r="B6" s="6" t="s">
        <v>260</v>
      </c>
      <c r="C6" s="7" t="s">
        <v>261</v>
      </c>
      <c r="D6" s="7" t="s">
        <v>257</v>
      </c>
      <c r="E6" s="7">
        <v>1</v>
      </c>
      <c r="F6" s="7">
        <v>2</v>
      </c>
      <c r="G6" s="7">
        <f t="shared" si="0"/>
        <v>2</v>
      </c>
      <c r="H6" s="7"/>
    </row>
    <row r="7" ht="24" customHeight="1" spans="1:8">
      <c r="A7" s="6"/>
      <c r="B7" s="6" t="s">
        <v>260</v>
      </c>
      <c r="C7" s="7" t="s">
        <v>262</v>
      </c>
      <c r="D7" s="7" t="s">
        <v>257</v>
      </c>
      <c r="E7" s="7">
        <v>1</v>
      </c>
      <c r="F7" s="7">
        <v>2</v>
      </c>
      <c r="G7" s="7">
        <f t="shared" si="0"/>
        <v>2</v>
      </c>
      <c r="H7" s="7"/>
    </row>
    <row r="8" ht="29" customHeight="1" spans="1:8">
      <c r="A8" s="6"/>
      <c r="B8" s="6" t="s">
        <v>263</v>
      </c>
      <c r="C8" s="7" t="s">
        <v>264</v>
      </c>
      <c r="D8" s="7" t="s">
        <v>257</v>
      </c>
      <c r="E8" s="7">
        <v>1</v>
      </c>
      <c r="F8" s="7">
        <v>1</v>
      </c>
      <c r="G8" s="7">
        <f t="shared" si="0"/>
        <v>1</v>
      </c>
      <c r="H8" s="7"/>
    </row>
    <row r="9" ht="22" customHeight="1" spans="1:8">
      <c r="A9" s="8" t="s">
        <v>265</v>
      </c>
      <c r="B9" s="8" t="s">
        <v>266</v>
      </c>
      <c r="C9" s="9" t="s">
        <v>267</v>
      </c>
      <c r="D9" s="9" t="s">
        <v>268</v>
      </c>
      <c r="E9" s="9">
        <v>0.2</v>
      </c>
      <c r="F9" s="9">
        <v>1</v>
      </c>
      <c r="G9" s="7">
        <f t="shared" ref="G9:G15" si="1">F9*E9</f>
        <v>0.2</v>
      </c>
      <c r="H9" s="9"/>
    </row>
    <row r="10" ht="29" customHeight="1" spans="1:8">
      <c r="A10" s="8"/>
      <c r="B10" s="8" t="s">
        <v>269</v>
      </c>
      <c r="C10" s="9" t="s">
        <v>270</v>
      </c>
      <c r="D10" s="9" t="s">
        <v>268</v>
      </c>
      <c r="E10" s="9">
        <v>0.1</v>
      </c>
      <c r="F10" s="9">
        <v>3</v>
      </c>
      <c r="G10" s="7">
        <f t="shared" si="1"/>
        <v>0.3</v>
      </c>
      <c r="H10" s="9"/>
    </row>
    <row r="11" ht="19" customHeight="1" spans="1:8">
      <c r="A11" s="8"/>
      <c r="B11" s="8" t="s">
        <v>271</v>
      </c>
      <c r="C11" s="9" t="s">
        <v>272</v>
      </c>
      <c r="D11" s="9" t="s">
        <v>268</v>
      </c>
      <c r="E11" s="9">
        <v>0.1</v>
      </c>
      <c r="F11" s="9">
        <v>1</v>
      </c>
      <c r="G11" s="7">
        <f t="shared" si="1"/>
        <v>0.1</v>
      </c>
      <c r="H11" s="9"/>
    </row>
    <row r="12" ht="24" customHeight="1" spans="1:8">
      <c r="A12" s="8" t="s">
        <v>273</v>
      </c>
      <c r="B12" s="8" t="s">
        <v>274</v>
      </c>
      <c r="C12" s="9" t="s">
        <v>275</v>
      </c>
      <c r="D12" s="9" t="s">
        <v>257</v>
      </c>
      <c r="E12" s="9">
        <v>0.1</v>
      </c>
      <c r="F12" s="9">
        <v>3</v>
      </c>
      <c r="G12" s="7">
        <f t="shared" si="1"/>
        <v>0.3</v>
      </c>
      <c r="H12" s="9"/>
    </row>
    <row r="13" ht="18" customHeight="1" spans="1:8">
      <c r="A13" s="8"/>
      <c r="B13" s="8" t="s">
        <v>276</v>
      </c>
      <c r="C13" s="9" t="s">
        <v>277</v>
      </c>
      <c r="D13" s="9" t="s">
        <v>257</v>
      </c>
      <c r="E13" s="9">
        <v>0.1</v>
      </c>
      <c r="F13" s="9">
        <v>3</v>
      </c>
      <c r="G13" s="7">
        <f t="shared" si="1"/>
        <v>0.3</v>
      </c>
      <c r="H13" s="9"/>
    </row>
    <row r="14" ht="20" customHeight="1" spans="1:8">
      <c r="A14" s="8" t="s">
        <v>278</v>
      </c>
      <c r="B14" s="8" t="s">
        <v>258</v>
      </c>
      <c r="C14" s="9" t="s">
        <v>279</v>
      </c>
      <c r="D14" s="9" t="s">
        <v>280</v>
      </c>
      <c r="E14" s="9">
        <v>0.05</v>
      </c>
      <c r="F14" s="9">
        <v>10</v>
      </c>
      <c r="G14" s="7">
        <f t="shared" si="1"/>
        <v>0.5</v>
      </c>
      <c r="H14" s="9"/>
    </row>
    <row r="15" ht="22" customHeight="1" spans="1:8">
      <c r="A15" s="8"/>
      <c r="B15" s="8" t="s">
        <v>255</v>
      </c>
      <c r="C15" s="9" t="s">
        <v>281</v>
      </c>
      <c r="D15" s="9" t="s">
        <v>280</v>
      </c>
      <c r="E15" s="9">
        <v>0.05</v>
      </c>
      <c r="F15" s="9">
        <v>10</v>
      </c>
      <c r="G15" s="7">
        <f t="shared" si="1"/>
        <v>0.5</v>
      </c>
      <c r="H15" s="9"/>
    </row>
    <row r="16" ht="29" customHeight="1" spans="1:8">
      <c r="A16" s="10" t="s">
        <v>231</v>
      </c>
      <c r="B16" s="10"/>
      <c r="C16" s="10"/>
      <c r="D16" s="10"/>
      <c r="E16" s="10"/>
      <c r="F16" s="10"/>
      <c r="G16" s="11">
        <f>SUM(G4:G15)</f>
        <v>13.2</v>
      </c>
      <c r="H16" s="12"/>
    </row>
  </sheetData>
  <mergeCells count="8">
    <mergeCell ref="A1:H1"/>
    <mergeCell ref="A2:H2"/>
    <mergeCell ref="A16:F16"/>
    <mergeCell ref="G16:H16"/>
    <mergeCell ref="A4:A8"/>
    <mergeCell ref="A9:A11"/>
    <mergeCell ref="A12:A13"/>
    <mergeCell ref="A14:A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项目概况</vt:lpstr>
      <vt:lpstr>功能清单</vt:lpstr>
      <vt:lpstr>工时汇总</vt:lpstr>
      <vt:lpstr>开发成本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刘友宝</cp:lastModifiedBy>
  <dcterms:created xsi:type="dcterms:W3CDTF">2026-08-04T10:01:00Z</dcterms:created>
  <dcterms:modified xsi:type="dcterms:W3CDTF">2026-08-05T00:54:27Z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9AE45D92F2754D85A7A3B2B3C032843F_12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